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5.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6.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7.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8.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drawings/drawing9.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10.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11.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drawings/drawing12.xml" ContentType="application/vnd.openxmlformats-officedocument.drawing+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1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14.xml" ContentType="application/vnd.openxmlformats-officedocument.drawing+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drawings/drawing15.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drawings/drawing16.xml" ContentType="application/vnd.openxmlformats-officedocument.drawing+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drawings/drawing17.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drawings/drawing18.xml" ContentType="application/vnd.openxmlformats-officedocument.drawing+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drawings/drawing19.xml" ContentType="application/vnd.openxmlformats-officedocument.drawing+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drawings/drawing20.xml" ContentType="application/vnd.openxmlformats-officedocument.drawing+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drawings/drawing21.xml" ContentType="application/vnd.openxmlformats-officedocument.drawing+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drawings/drawing22.xml" ContentType="application/vnd.openxmlformats-officedocument.drawing+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drawings/drawing23.xml" ContentType="application/vnd.openxmlformats-officedocument.drawing+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drawings/drawing24.xml" ContentType="application/vnd.openxmlformats-officedocument.drawing+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drawings/drawing25.xml" ContentType="application/vnd.openxmlformats-officedocument.drawing+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drawings/drawing26.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drawings/drawing27.xml" ContentType="application/vnd.openxmlformats-officedocument.drawing+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drawings/drawing28.xml" ContentType="application/vnd.openxmlformats-officedocument.drawing+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drawings/drawing29.xml" ContentType="application/vnd.openxmlformats-officedocument.drawing+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drawings/drawing30.xml" ContentType="application/vnd.openxmlformats-officedocument.drawing+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drawings/drawing31.xml" ContentType="application/vnd.openxmlformats-officedocument.drawing+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drawings/drawing32.xml" ContentType="application/vnd.openxmlformats-officedocument.drawing+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drawings/drawing33.xml" ContentType="application/vnd.openxmlformats-officedocument.drawing+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drawings/drawing34.xml" ContentType="application/vnd.openxmlformats-officedocument.drawing+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drawings/drawing35.xml" ContentType="application/vnd.openxmlformats-officedocument.drawing+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drawings/drawing36.xml" ContentType="application/vnd.openxmlformats-officedocument.drawing+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drawings/drawing37.xml" ContentType="application/vnd.openxmlformats-officedocument.drawing+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drawings/drawing38.xml" ContentType="application/vnd.openxmlformats-officedocument.drawing+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drawings/drawing39.xml" ContentType="application/vnd.openxmlformats-officedocument.drawing+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drawings/drawing40.xml" ContentType="application/vnd.openxmlformats-officedocument.drawing+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drawings/drawing41.xml" ContentType="application/vnd.openxmlformats-officedocument.drawing+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drawings/drawing42.xml" ContentType="application/vnd.openxmlformats-officedocument.drawing+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mhock\Documents\IUCN\Science and PA Mgt\MESG\2019\Advanced METT\"/>
    </mc:Choice>
  </mc:AlternateContent>
  <xr:revisionPtr revIDLastSave="0" documentId="13_ncr:1_{ADD8BB3C-F3A6-468C-908B-31D4AF3DD65C}" xr6:coauthVersionLast="44" xr6:coauthVersionMax="44" xr10:uidLastSave="{00000000-0000-0000-0000-000000000000}"/>
  <bookViews>
    <workbookView xWindow="-96" yWindow="-96" windowWidth="19392" windowHeight="10536" tabRatio="500" xr2:uid="{00000000-000D-0000-FFFF-FFFF00000000}"/>
  </bookViews>
  <sheets>
    <sheet name="Advanced METT introduction" sheetId="45" r:id="rId1"/>
    <sheet name="Data lookups" sheetId="63" state="hidden" r:id="rId2"/>
    <sheet name="Advanced METT questions+scores" sheetId="2" r:id="rId3"/>
    <sheet name="Protected area attributes" sheetId="35" r:id="rId4"/>
    <sheet name="Detailed assessment of threats" sheetId="41" r:id="rId5"/>
    <sheet name="1. Legal Status" sheetId="1" r:id="rId6"/>
    <sheet name="2. Protected area regulations" sheetId="3" r:id="rId7"/>
    <sheet name="3. Law enforcement" sheetId="4" r:id="rId8"/>
    <sheet name="4. Protected area objectives" sheetId="5" r:id="rId9"/>
    <sheet name="5. Protected area design" sheetId="6" r:id="rId10"/>
    <sheet name="6. Boundary demarcation" sheetId="7" r:id="rId11"/>
    <sheet name="7. Management plan" sheetId="8" r:id="rId12"/>
    <sheet name="Additional points on 7." sheetId="50" r:id="rId13"/>
    <sheet name="8. Regular work plan" sheetId="9" r:id="rId14"/>
    <sheet name="9. Resource inventory" sheetId="10" r:id="rId15"/>
    <sheet name="10. Protection systems" sheetId="11" r:id="rId16"/>
    <sheet name="11. Research " sheetId="12" r:id="rId17"/>
    <sheet name="12. Resource management " sheetId="13" r:id="rId18"/>
    <sheet name="13. Staff numbers" sheetId="14" r:id="rId19"/>
    <sheet name="14. Staff training" sheetId="15" r:id="rId20"/>
    <sheet name="15. Current budget" sheetId="16" r:id="rId21"/>
    <sheet name="16. Security of budget " sheetId="17" r:id="rId22"/>
    <sheet name="17. Management of budget " sheetId="18" r:id="rId23"/>
    <sheet name="18. Equipment and facilities" sheetId="19" r:id="rId24"/>
    <sheet name="19. Maintaining equip. + facil." sheetId="20" r:id="rId25"/>
    <sheet name="20. Education and awareness " sheetId="21" r:id="rId26"/>
    <sheet name="21. Planning for land and water" sheetId="22" r:id="rId27"/>
    <sheet name="Additional points on 21." sheetId="51" r:id="rId28"/>
    <sheet name="22. State and commercial neigh." sheetId="23" r:id="rId29"/>
    <sheet name="23. Indigenous people" sheetId="24" r:id="rId30"/>
    <sheet name="24. Local communities " sheetId="25" r:id="rId31"/>
    <sheet name="Additional points on 24." sheetId="52" r:id="rId32"/>
    <sheet name="25. Economic benefit " sheetId="26" r:id="rId33"/>
    <sheet name="26. Monitoring and evaluation " sheetId="27" r:id="rId34"/>
    <sheet name="27. Visitor facilities " sheetId="28" r:id="rId35"/>
    <sheet name="28. Commercial tourism op." sheetId="29" r:id="rId36"/>
    <sheet name="29. Fees" sheetId="30" r:id="rId37"/>
    <sheet name="30. Condition of values" sheetId="31" r:id="rId38"/>
    <sheet name="Additional points on 30." sheetId="53" r:id="rId39"/>
    <sheet name="Detailed assess. of conditions" sheetId="42" r:id="rId40"/>
    <sheet name="31. Staff security" sheetId="62" r:id="rId41"/>
    <sheet name="32. Climate change" sheetId="40" r:id="rId42"/>
    <sheet name="33. Carbon capture" sheetId="56" r:id="rId43"/>
    <sheet name="34. Threats" sheetId="36" r:id="rId44"/>
    <sheet name="35. Conserve status key ind spe" sheetId="44" r:id="rId45"/>
    <sheet name="Detailed assessment of species" sheetId="46" r:id="rId46"/>
    <sheet name="36.Conservation status habitats" sheetId="48" r:id="rId47"/>
    <sheet name="Detailed assessment of habitats" sheetId="47" r:id="rId48"/>
    <sheet name="Ways forward after assessment" sheetId="54" r:id="rId49"/>
  </sheets>
  <calcPr calcId="191029" concurrentCalc="0"/>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40" i="42" l="1"/>
  <c r="B41" i="42"/>
  <c r="B42" i="42"/>
  <c r="B43" i="42"/>
  <c r="B39" i="42"/>
  <c r="C45" i="54"/>
  <c r="C44" i="54"/>
  <c r="C43" i="54"/>
  <c r="C42" i="54"/>
  <c r="E8" i="2"/>
  <c r="E11" i="2"/>
  <c r="E17" i="2"/>
  <c r="E18" i="2"/>
  <c r="E23" i="2"/>
  <c r="E25" i="2"/>
  <c r="E29" i="2"/>
  <c r="E30" i="2"/>
  <c r="E31" i="2"/>
  <c r="E32" i="2"/>
  <c r="E34" i="2"/>
  <c r="E40" i="2"/>
  <c r="E36" i="2"/>
  <c r="E41" i="2"/>
  <c r="J9" i="2"/>
  <c r="D40" i="2"/>
  <c r="K9"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1" i="2"/>
  <c r="D42" i="2"/>
  <c r="D43" i="2"/>
  <c r="D44" i="2"/>
  <c r="D45" i="2"/>
  <c r="D6" i="2"/>
  <c r="K10" i="2"/>
  <c r="E28" i="2"/>
  <c r="E45" i="2"/>
  <c r="E44" i="2"/>
  <c r="E43" i="2"/>
  <c r="E42" i="2"/>
  <c r="E39" i="2"/>
  <c r="E33" i="2"/>
  <c r="E38" i="2"/>
  <c r="J11" i="2"/>
  <c r="E37" i="2"/>
  <c r="E35" i="2"/>
  <c r="E27" i="2"/>
  <c r="E26" i="2"/>
  <c r="E24" i="2"/>
  <c r="E22" i="2"/>
  <c r="E21" i="2"/>
  <c r="E20" i="2"/>
  <c r="E19" i="2"/>
  <c r="E16" i="2"/>
  <c r="E15" i="2"/>
  <c r="E14" i="2"/>
  <c r="E12" i="2"/>
  <c r="E13" i="2"/>
  <c r="E10" i="2"/>
  <c r="E9" i="2"/>
  <c r="E7" i="2"/>
  <c r="K11" i="2"/>
  <c r="K7" i="2"/>
  <c r="K8" i="2"/>
  <c r="C47" i="54"/>
  <c r="C46"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 r="C9" i="54"/>
  <c r="C8" i="54"/>
  <c r="C7" i="54"/>
  <c r="E6" i="2"/>
  <c r="J6" i="2"/>
  <c r="C6" i="54"/>
  <c r="F46" i="2"/>
  <c r="D46" i="2"/>
  <c r="K6" i="2"/>
  <c r="L11" i="2"/>
  <c r="K12" i="2"/>
  <c r="J8" i="2"/>
  <c r="L8" i="2"/>
  <c r="L9" i="2"/>
  <c r="J10" i="2"/>
  <c r="L10" i="2"/>
  <c r="J7" i="2"/>
  <c r="L7" i="2"/>
  <c r="L6" i="2"/>
  <c r="E46" i="2"/>
  <c r="J12" i="2"/>
  <c r="L12" i="2"/>
</calcChain>
</file>

<file path=xl/sharedStrings.xml><?xml version="1.0" encoding="utf-8"?>
<sst xmlns="http://schemas.openxmlformats.org/spreadsheetml/2006/main" count="1185" uniqueCount="657">
  <si>
    <t>Does the PA have legal status (or in the case of private reserves is covered by a covenant or similar)?</t>
  </si>
  <si>
    <t>Question</t>
  </si>
  <si>
    <t>Are appropriate regulations in place to control land use and activities (such as hunting)?</t>
  </si>
  <si>
    <t xml:space="preserve">Can staff enforce protected area rules well enough? (Staff = those with responsibility for managing the site) </t>
  </si>
  <si>
    <t>Is management undertaken according to agreed objectives?</t>
  </si>
  <si>
    <t>Is the protected area the right size and shape to protect species, habitats, ecological processes and water catchments of key conservation concern?</t>
  </si>
  <si>
    <t>Inadequacies in protected area design mean achieving the major objectives of the protected area is very difficult</t>
  </si>
  <si>
    <t>Is the boundary known and demarcated?</t>
  </si>
  <si>
    <t>Is there a management plan and is it being implemented?</t>
  </si>
  <si>
    <t>Is there a regular work plan and is it being implemented?</t>
  </si>
  <si>
    <t>Do you have enough information to manage the area?</t>
  </si>
  <si>
    <t>Is access / resource use sufficiently controlled in accordance with designated objectives?</t>
  </si>
  <si>
    <t>Is there a programme of management-orientated survey and research work?</t>
  </si>
  <si>
    <t>Is active resource management being undertaken?</t>
  </si>
  <si>
    <t>Are there enough people employed to manage the protected area?</t>
  </si>
  <si>
    <t>Are staff adequately trained to fulfil management objectives?</t>
  </si>
  <si>
    <t>Is the current budget sufficient?</t>
  </si>
  <si>
    <t>Is the budget secure?</t>
  </si>
  <si>
    <t>Is the budget managed to meet critical management needs?</t>
  </si>
  <si>
    <t>Is equipment sufficient for management needs?</t>
  </si>
  <si>
    <t>Is equipment adequately maintained?</t>
  </si>
  <si>
    <t>Is there a planned education programme linked to the objectives and needs?</t>
  </si>
  <si>
    <t>Does land and water use planning (happening outside the protected area) recognise the protected area and aid the achievement of objectives?</t>
  </si>
  <si>
    <r>
      <t xml:space="preserve">Additional points: </t>
    </r>
    <r>
      <rPr>
        <b/>
        <i/>
        <sz val="12"/>
        <color rgb="FF0070C0"/>
        <rFont val="Calibri"/>
        <family val="2"/>
        <scheme val="minor"/>
      </rPr>
      <t xml:space="preserve">Land and water planning </t>
    </r>
  </si>
  <si>
    <t xml:space="preserve">Is there co-operation with adjacent land and water users? </t>
  </si>
  <si>
    <t>Do indigenous and traditional peoples resident or regularly using the protected area have input to management decisions?</t>
  </si>
  <si>
    <t>Do local communities resident or near the protected area have input to management decisions?</t>
  </si>
  <si>
    <t>Is the protected area providing economic benefits to local communities, e.g. income, employment, payment for environmental services?</t>
  </si>
  <si>
    <t>Are management activities monitored against performance?</t>
  </si>
  <si>
    <t>Are visitor facilities adequate?</t>
  </si>
  <si>
    <t>Do commercial tour operators contribute to protected area management?</t>
  </si>
  <si>
    <t>If fees (such as entry fees or fines) are applied, do they help protected area management?</t>
  </si>
  <si>
    <t>What is the condition of the important values of the protected area as compared to when it was first designated?</t>
  </si>
  <si>
    <r>
      <t xml:space="preserve">Additional points: </t>
    </r>
    <r>
      <rPr>
        <b/>
        <i/>
        <sz val="12"/>
        <color rgb="FF0070C0"/>
        <rFont val="Calibri"/>
        <family val="2"/>
        <scheme val="minor"/>
      </rPr>
      <t>Local communities / indigenous people</t>
    </r>
  </si>
  <si>
    <t>Context</t>
  </si>
  <si>
    <t>Planning</t>
  </si>
  <si>
    <t>21a-c</t>
  </si>
  <si>
    <t>24a-c</t>
  </si>
  <si>
    <t>30a-c</t>
  </si>
  <si>
    <t>No.</t>
  </si>
  <si>
    <t>Total</t>
  </si>
  <si>
    <t>Total score</t>
  </si>
  <si>
    <t>Input</t>
  </si>
  <si>
    <t>7a-c</t>
  </si>
  <si>
    <t>Element</t>
  </si>
  <si>
    <t>Management element</t>
  </si>
  <si>
    <t>Your METT score from last assessment (if available)</t>
  </si>
  <si>
    <t>Processes</t>
  </si>
  <si>
    <t>Outputs</t>
  </si>
  <si>
    <t>Outcomes</t>
  </si>
  <si>
    <t>Inputs</t>
  </si>
  <si>
    <t>Maximum Element Score</t>
  </si>
  <si>
    <t>Your Element Score</t>
  </si>
  <si>
    <t>Ways forward: Is there anything you are planning to do to maintain the score or improve it?</t>
  </si>
  <si>
    <t>Country</t>
  </si>
  <si>
    <t>Private</t>
  </si>
  <si>
    <t>Community</t>
  </si>
  <si>
    <t>Other</t>
  </si>
  <si>
    <t>Management Authority</t>
  </si>
  <si>
    <t>Questions</t>
  </si>
  <si>
    <t xml:space="preserve">Date of establishment </t>
  </si>
  <si>
    <t>Codes can be found on www.protectedplanet.net</t>
  </si>
  <si>
    <t>PA staff</t>
  </si>
  <si>
    <t>Other PA agency staff</t>
  </si>
  <si>
    <t>NGO</t>
  </si>
  <si>
    <t>Local community</t>
  </si>
  <si>
    <t>Donors</t>
  </si>
  <si>
    <t>External experts</t>
  </si>
  <si>
    <t>Background information on protected area attributes</t>
  </si>
  <si>
    <t>Format: DD/MM/YYYY</t>
  </si>
  <si>
    <t>See https://rsis.ramsar.org/</t>
  </si>
  <si>
    <t>See http://datazone.birdlife.org/site/search</t>
  </si>
  <si>
    <t>See http://www.zeroextinction.org/search.cfm</t>
  </si>
  <si>
    <t>Category Ib - Wilderness Area</t>
  </si>
  <si>
    <t>Category II - National Park</t>
  </si>
  <si>
    <t>Category III - Natural Monument or Feature</t>
  </si>
  <si>
    <t>Category V - Protected Landscape/Seascape</t>
  </si>
  <si>
    <t xml:space="preserve">Category Ia - Strict Nature Reserve
</t>
  </si>
  <si>
    <t>Category VI - Protected Area with sustainable use of natural resources</t>
  </si>
  <si>
    <t xml:space="preserve">State
</t>
  </si>
  <si>
    <t>Category IV - Habitat/Species Management Area</t>
  </si>
  <si>
    <t>Note down the national category. This is important because particular designations have their own policies, rules and sometimes legislation</t>
  </si>
  <si>
    <t>Most but not all protected areas arealso  assigned an IUCN category which is listed on the WDPA. If the WDPA on www.protectedplanet.net does not show an IUCN category, leave this section blank</t>
  </si>
  <si>
    <t>Man and Biosphere</t>
  </si>
  <si>
    <t>Key Biodiversity Areas - KBA</t>
  </si>
  <si>
    <t>Areas of Zero Extinction - AZE</t>
  </si>
  <si>
    <t>Location of protected area</t>
  </si>
  <si>
    <t>Province and if possible map reference</t>
  </si>
  <si>
    <t xml:space="preserve">Number of people involved in completing assessment </t>
  </si>
  <si>
    <t>Add total number</t>
  </si>
  <si>
    <t>Add numbers where relevant</t>
  </si>
  <si>
    <t>See www.unesco.org/new/en/natural-sciences/environment/ecological-sciences/biosphere-reserves/world-network-wnbr/wnbr/</t>
  </si>
  <si>
    <t xml:space="preserve">See whc.unesco.org/en/list </t>
  </si>
  <si>
    <t>Objectives should be in the management plan, but there will often be more than two. In this case, or if objectives are not formally written down, people compiling the METT should agree on the two most important management objectives. These should be conservation objectives rather than, for instance, tourism management or supply of ecosystem services. It is important to identify the key objectives since the management assessment in the METT refers back to them.</t>
  </si>
  <si>
    <t>Please mark with an X and add text where relevant</t>
  </si>
  <si>
    <t>Add how the protected area fulfils the 3 functions of MAB (conservation, development and logstic support) (Article 3 of the MAB Statutory Framework describes the functions see http://unesdoc.unesco.org/images/0010/001038/103849Eb.pdf)</t>
  </si>
  <si>
    <t>Add Criteria for designation (Article 4 of the MAB Statutory Framework describes the criteria, see http://unesdoc.unesco.org/images/0010/001038/103849Eb.pdf)</t>
  </si>
  <si>
    <t>Threats</t>
  </si>
  <si>
    <t>Main value 1</t>
  </si>
  <si>
    <t>Main value 2</t>
  </si>
  <si>
    <t>Main value 3</t>
  </si>
  <si>
    <t>Main value 4</t>
  </si>
  <si>
    <t>Main value 5</t>
  </si>
  <si>
    <t>Please list up to 5 main values. 
Sometimes the values are written down (for instance in application for World Heritage status or in the protected area management plan), or it may be implicit. It is important to note whether the protected area is designated primarily to protect a whole habitat (such as a coral reef or rainforest) or whether it is to protect a certain species or group (like a seabird colony or a rare plant).</t>
  </si>
  <si>
    <t xml:space="preserve">Are the threats to the main values of the protected area identified, classified and adressed? </t>
  </si>
  <si>
    <t>Climate change</t>
  </si>
  <si>
    <t xml:space="preserve">There have been no efforts to consider adaptation to climate change in management </t>
  </si>
  <si>
    <t xml:space="preserve">Some initial thought has taken place about likely impacts of climate change, but this has yet to be translated into management plans </t>
  </si>
  <si>
    <t xml:space="preserve">Detailed plans have been drawn up about how to adapt management to predicted climate change, and these are already being implemented </t>
  </si>
  <si>
    <r>
      <rPr>
        <b/>
        <sz val="12"/>
        <color theme="1"/>
        <rFont val="Calibri"/>
        <family val="2"/>
        <scheme val="minor"/>
      </rPr>
      <t>Threat category</t>
    </r>
    <r>
      <rPr>
        <sz val="12"/>
        <color theme="1"/>
        <rFont val="Calibri"/>
        <family val="2"/>
        <scheme val="minor"/>
      </rPr>
      <t xml:space="preserve">
(see below for categories)</t>
    </r>
  </si>
  <si>
    <r>
      <rPr>
        <b/>
        <sz val="12"/>
        <color theme="1"/>
        <rFont val="Calibri"/>
        <family val="2"/>
        <scheme val="minor"/>
      </rPr>
      <t>Threat</t>
    </r>
    <r>
      <rPr>
        <sz val="12"/>
        <color theme="1"/>
        <rFont val="Calibri"/>
        <family val="2"/>
        <scheme val="minor"/>
      </rPr>
      <t xml:space="preserve"> 
(see below in the respective category, note down all threats to the protected area)</t>
    </r>
  </si>
  <si>
    <r>
      <rPr>
        <b/>
        <sz val="12"/>
        <color theme="1"/>
        <rFont val="Calibri"/>
        <family val="2"/>
        <scheme val="minor"/>
      </rPr>
      <t>Main values affected by threat</t>
    </r>
    <r>
      <rPr>
        <sz val="12"/>
        <color theme="1"/>
        <rFont val="Calibri"/>
        <family val="2"/>
        <scheme val="minor"/>
      </rPr>
      <t xml:space="preserve">
(from those listed in the sheet 'Protected area attributes')</t>
    </r>
  </si>
  <si>
    <r>
      <rPr>
        <b/>
        <sz val="12"/>
        <color theme="1"/>
        <rFont val="Calibri"/>
        <family val="2"/>
        <scheme val="minor"/>
      </rPr>
      <t>Threat extent</t>
    </r>
    <r>
      <rPr>
        <sz val="12"/>
        <color theme="1"/>
        <rFont val="Calibri"/>
        <family val="2"/>
        <scheme val="minor"/>
      </rPr>
      <t xml:space="preserve"> 
(see classifications below and choose one)</t>
    </r>
  </si>
  <si>
    <r>
      <rPr>
        <b/>
        <sz val="12"/>
        <color theme="1"/>
        <rFont val="Calibri"/>
        <family val="2"/>
        <scheme val="minor"/>
      </rPr>
      <t xml:space="preserve">Threat severity </t>
    </r>
    <r>
      <rPr>
        <sz val="12"/>
        <color theme="1"/>
        <rFont val="Calibri"/>
        <family val="2"/>
        <scheme val="minor"/>
      </rPr>
      <t xml:space="preserve">
(see classifications below and choose one)</t>
    </r>
  </si>
  <si>
    <r>
      <rPr>
        <b/>
        <sz val="12"/>
        <color theme="1"/>
        <rFont val="Calibri"/>
        <family val="2"/>
        <scheme val="minor"/>
      </rPr>
      <t>Source of information</t>
    </r>
    <r>
      <rPr>
        <sz val="12"/>
        <color theme="1"/>
        <rFont val="Calibri"/>
        <family val="2"/>
        <scheme val="minor"/>
      </rPr>
      <t xml:space="preserve">
(What information did you use to assess the threat?)</t>
    </r>
  </si>
  <si>
    <r>
      <rPr>
        <b/>
        <sz val="12"/>
        <color theme="1"/>
        <rFont val="Calibri"/>
        <family val="2"/>
        <scheme val="minor"/>
      </rPr>
      <t xml:space="preserve">Management response </t>
    </r>
    <r>
      <rPr>
        <sz val="12"/>
        <color theme="1"/>
        <rFont val="Calibri"/>
        <family val="2"/>
        <scheme val="minor"/>
      </rPr>
      <t xml:space="preserve">
(What does management do to address the threat?)</t>
    </r>
  </si>
  <si>
    <t>The discussion on how the protected area's values are doing could be structured as follows and you could use the table below to capture the results fo the discussion:</t>
  </si>
  <si>
    <t>3. Next, ask the participants to think about how the value has changed since the time the protected area was first designated and to describe its trend using one of the following terms:</t>
  </si>
  <si>
    <t>4. Then, ask the participants for their reasons of assessing the values the way they did and how they think the state and trend of the values could be improved.</t>
  </si>
  <si>
    <t>5. Capture the results for each value in the table below.</t>
  </si>
  <si>
    <t>Value</t>
  </si>
  <si>
    <t>Condition</t>
  </si>
  <si>
    <t>Trend</t>
  </si>
  <si>
    <t>Very good</t>
  </si>
  <si>
    <t>Good</t>
  </si>
  <si>
    <t>Fair</t>
  </si>
  <si>
    <t>Poor</t>
  </si>
  <si>
    <t>Don't know</t>
  </si>
  <si>
    <t>Improving</t>
  </si>
  <si>
    <t>Stable</t>
  </si>
  <si>
    <t>Reason for the rating</t>
  </si>
  <si>
    <t>Ways to improve value</t>
  </si>
  <si>
    <t>6. Finally, summarise the results to answer question 30 of the METT on the previous sheet.</t>
  </si>
  <si>
    <t>Has the status of key indicator species changed over the last 5 years?</t>
  </si>
  <si>
    <t>Add.</t>
  </si>
  <si>
    <t>Do it properly and do it all</t>
  </si>
  <si>
    <t>Additional points: Planning process</t>
  </si>
  <si>
    <t xml:space="preserve">Additional points: Land and water planning </t>
  </si>
  <si>
    <t>Additional points: Local communities / indigenous people</t>
  </si>
  <si>
    <t>Additional points: Condition assessment</t>
  </si>
  <si>
    <r>
      <rPr>
        <b/>
        <sz val="12"/>
        <color theme="1"/>
        <rFont val="Calibri"/>
        <family val="2"/>
        <scheme val="minor"/>
      </rPr>
      <t xml:space="preserve">    Very good</t>
    </r>
    <r>
      <rPr>
        <sz val="12"/>
        <color theme="1"/>
        <rFont val="Calibri"/>
        <family val="2"/>
        <scheme val="minor"/>
      </rPr>
      <t>: There is no problem, it is doing well.</t>
    </r>
  </si>
  <si>
    <r>
      <rPr>
        <b/>
        <sz val="12"/>
        <color theme="1"/>
        <rFont val="Calibri"/>
        <family val="2"/>
        <scheme val="minor"/>
      </rPr>
      <t xml:space="preserve">    Good</t>
    </r>
    <r>
      <rPr>
        <sz val="12"/>
        <color theme="1"/>
        <rFont val="Calibri"/>
        <family val="2"/>
        <scheme val="minor"/>
      </rPr>
      <t>: Things are okay, although there are minor problems the value could recover with a bit of help and time.</t>
    </r>
  </si>
  <si>
    <r>
      <rPr>
        <b/>
        <sz val="12"/>
        <color theme="1"/>
        <rFont val="Calibri"/>
        <family val="2"/>
        <scheme val="minor"/>
      </rPr>
      <t xml:space="preserve">    Fair</t>
    </r>
    <r>
      <rPr>
        <sz val="12"/>
        <color theme="1"/>
        <rFont val="Calibri"/>
        <family val="2"/>
        <scheme val="minor"/>
      </rPr>
      <t>: There are some serious problems affecting the value, and it will need quite a lot of work and time to recover.</t>
    </r>
  </si>
  <si>
    <r>
      <t xml:space="preserve"> </t>
    </r>
    <r>
      <rPr>
        <b/>
        <sz val="12"/>
        <color theme="1"/>
        <rFont val="Calibri"/>
        <family val="2"/>
        <scheme val="minor"/>
      </rPr>
      <t xml:space="preserve">   Poor</t>
    </r>
    <r>
      <rPr>
        <sz val="12"/>
        <color theme="1"/>
        <rFont val="Calibri"/>
        <family val="2"/>
        <scheme val="minor"/>
      </rPr>
      <t>: The value is really suffering, and it will not recover, at least not without a really major effort and intervention.</t>
    </r>
  </si>
  <si>
    <r>
      <rPr>
        <b/>
        <sz val="12"/>
        <color theme="1"/>
        <rFont val="Calibri"/>
        <family val="2"/>
        <scheme val="minor"/>
      </rPr>
      <t xml:space="preserve">    Don’t know</t>
    </r>
    <r>
      <rPr>
        <sz val="12"/>
        <color theme="1"/>
        <rFont val="Calibri"/>
        <family val="2"/>
        <scheme val="minor"/>
      </rPr>
      <t>: We have no information or knowledge about the value and cannot assess the condition or trend.</t>
    </r>
  </si>
  <si>
    <r>
      <rPr>
        <b/>
        <sz val="12"/>
        <color theme="1"/>
        <rFont val="Calibri"/>
        <family val="2"/>
        <scheme val="minor"/>
      </rPr>
      <t xml:space="preserve">    Improving</t>
    </r>
    <r>
      <rPr>
        <sz val="12"/>
        <color theme="1"/>
        <rFont val="Calibri"/>
        <family val="2"/>
        <scheme val="minor"/>
      </rPr>
      <t>: Getting better / recovering</t>
    </r>
  </si>
  <si>
    <r>
      <rPr>
        <b/>
        <sz val="12"/>
        <color theme="1"/>
        <rFont val="Calibri"/>
        <family val="2"/>
        <scheme val="minor"/>
      </rPr>
      <t xml:space="preserve">    Stable</t>
    </r>
    <r>
      <rPr>
        <sz val="12"/>
        <color theme="1"/>
        <rFont val="Calibri"/>
        <family val="2"/>
        <scheme val="minor"/>
      </rPr>
      <t>: Staying about the same</t>
    </r>
  </si>
  <si>
    <r>
      <rPr>
        <b/>
        <sz val="12"/>
        <color theme="1"/>
        <rFont val="Calibri"/>
        <family val="2"/>
        <scheme val="minor"/>
      </rPr>
      <t xml:space="preserve">    Deteriorating</t>
    </r>
    <r>
      <rPr>
        <sz val="12"/>
        <color theme="1"/>
        <rFont val="Calibri"/>
        <family val="2"/>
        <scheme val="minor"/>
      </rPr>
      <t>: Getting worse</t>
    </r>
  </si>
  <si>
    <r>
      <t xml:space="preserve">    </t>
    </r>
    <r>
      <rPr>
        <b/>
        <sz val="12"/>
        <color theme="1"/>
        <rFont val="Calibri"/>
        <family val="2"/>
        <scheme val="minor"/>
      </rPr>
      <t>Range</t>
    </r>
    <r>
      <rPr>
        <sz val="12"/>
        <color theme="1"/>
        <rFont val="Calibri"/>
        <family val="2"/>
        <scheme val="minor"/>
      </rPr>
      <t>: Same, increasing, decreasing</t>
    </r>
  </si>
  <si>
    <r>
      <t xml:space="preserve"> </t>
    </r>
    <r>
      <rPr>
        <b/>
        <sz val="12"/>
        <color theme="1"/>
        <rFont val="Calibri"/>
        <family val="2"/>
        <scheme val="minor"/>
      </rPr>
      <t xml:space="preserve">   Population size</t>
    </r>
    <r>
      <rPr>
        <sz val="12"/>
        <color theme="1"/>
        <rFont val="Calibri"/>
        <family val="2"/>
        <scheme val="minor"/>
      </rPr>
      <t>: Same, increasing, decreasing</t>
    </r>
  </si>
  <si>
    <r>
      <rPr>
        <b/>
        <sz val="12"/>
        <color theme="1"/>
        <rFont val="Calibri"/>
        <family val="2"/>
        <scheme val="minor"/>
      </rPr>
      <t xml:space="preserve">    Reproduction, mortality and age structure</t>
    </r>
    <r>
      <rPr>
        <sz val="12"/>
        <color theme="1"/>
        <rFont val="Calibri"/>
        <family val="2"/>
        <scheme val="minor"/>
      </rPr>
      <t>: Same, increasing, decreasing</t>
    </r>
  </si>
  <si>
    <r>
      <rPr>
        <b/>
        <sz val="12"/>
        <color theme="1"/>
        <rFont val="Calibri"/>
        <family val="2"/>
        <scheme val="minor"/>
      </rPr>
      <t xml:space="preserve">    Area of habitats</t>
    </r>
    <r>
      <rPr>
        <sz val="12"/>
        <color theme="1"/>
        <rFont val="Calibri"/>
        <family val="2"/>
        <scheme val="minor"/>
      </rPr>
      <t>: Same, increasing, decreasing</t>
    </r>
  </si>
  <si>
    <r>
      <t xml:space="preserve">    </t>
    </r>
    <r>
      <rPr>
        <b/>
        <sz val="12"/>
        <color theme="1"/>
        <rFont val="Calibri"/>
        <family val="2"/>
        <scheme val="minor"/>
      </rPr>
      <t>Habitat quality</t>
    </r>
    <r>
      <rPr>
        <sz val="12"/>
        <color theme="1"/>
        <rFont val="Calibri"/>
        <family val="2"/>
        <scheme val="minor"/>
      </rPr>
      <t>: Same, increasing, decreasing</t>
    </r>
  </si>
  <si>
    <r>
      <rPr>
        <b/>
        <sz val="12"/>
        <color theme="1"/>
        <rFont val="Calibri"/>
        <family val="2"/>
        <scheme val="minor"/>
      </rPr>
      <t xml:space="preserve">    Main pressures and threats</t>
    </r>
    <r>
      <rPr>
        <sz val="12"/>
        <color theme="1"/>
        <rFont val="Calibri"/>
        <family val="2"/>
        <scheme val="minor"/>
      </rPr>
      <t>: Same, increasing, decreasing</t>
    </r>
  </si>
  <si>
    <t>Key indicator species</t>
  </si>
  <si>
    <t>Range</t>
  </si>
  <si>
    <t>Increasing</t>
  </si>
  <si>
    <t>Decreasing</t>
  </si>
  <si>
    <t>Population size</t>
  </si>
  <si>
    <t>Reproduction, mortality, age structure</t>
  </si>
  <si>
    <t>Area of habitats</t>
  </si>
  <si>
    <t>Habitat quality</t>
  </si>
  <si>
    <t>Main pressures and threats</t>
  </si>
  <si>
    <r>
      <t xml:space="preserve">  </t>
    </r>
    <r>
      <rPr>
        <b/>
        <sz val="12"/>
        <color theme="1"/>
        <rFont val="Calibri"/>
        <family val="2"/>
        <scheme val="minor"/>
      </rPr>
      <t xml:space="preserve">  Range</t>
    </r>
    <r>
      <rPr>
        <sz val="12"/>
        <color theme="1"/>
        <rFont val="Calibri"/>
        <family val="2"/>
        <scheme val="minor"/>
      </rPr>
      <t>: Same, increasing, decreasing</t>
    </r>
  </si>
  <si>
    <r>
      <t xml:space="preserve"> </t>
    </r>
    <r>
      <rPr>
        <b/>
        <sz val="12"/>
        <color theme="1"/>
        <rFont val="Calibri"/>
        <family val="2"/>
        <scheme val="minor"/>
      </rPr>
      <t xml:space="preserve">   Area covered by habitat type within range</t>
    </r>
    <r>
      <rPr>
        <sz val="12"/>
        <color theme="1"/>
        <rFont val="Calibri"/>
        <family val="2"/>
        <scheme val="minor"/>
      </rPr>
      <t>: Same, increasing, decreasing</t>
    </r>
  </si>
  <si>
    <r>
      <rPr>
        <b/>
        <sz val="12"/>
        <color theme="1"/>
        <rFont val="Calibri"/>
        <family val="2"/>
        <scheme val="minor"/>
      </rPr>
      <t xml:space="preserve">    Specific structures and functions</t>
    </r>
    <r>
      <rPr>
        <sz val="12"/>
        <color theme="1"/>
        <rFont val="Calibri"/>
        <family val="2"/>
        <scheme val="minor"/>
      </rPr>
      <t>: Same, increasing, decreasing</t>
    </r>
  </si>
  <si>
    <r>
      <rPr>
        <b/>
        <sz val="12"/>
        <color theme="1"/>
        <rFont val="Calibri"/>
        <family val="2"/>
        <scheme val="minor"/>
      </rPr>
      <t xml:space="preserve">    Expected impact from threats</t>
    </r>
    <r>
      <rPr>
        <sz val="12"/>
        <color theme="1"/>
        <rFont val="Calibri"/>
        <family val="2"/>
        <scheme val="minor"/>
      </rPr>
      <t>: Same, increasing, decreasing</t>
    </r>
  </si>
  <si>
    <t>Specific structures and functions</t>
  </si>
  <si>
    <t>Expected impact from threats</t>
  </si>
  <si>
    <t>6. Finally, summarise the results to answer the question on the previous sheet.</t>
  </si>
  <si>
    <t>Area covered by habitat type</t>
  </si>
  <si>
    <t>Maximum Advanced METT score</t>
  </si>
  <si>
    <t>Your Advanced METT score</t>
  </si>
  <si>
    <t>Back to 'Advanced METT questions and scores'</t>
  </si>
  <si>
    <t>Help for answering this question</t>
  </si>
  <si>
    <t>Your answer 
(put in text or mark with X where appropriate)</t>
  </si>
  <si>
    <t>Ownership details</t>
  </si>
  <si>
    <t>Add exact number or, where not known, give an estimate</t>
  </si>
  <si>
    <t>PA manager</t>
  </si>
  <si>
    <t>Important Bird and Biodiversity Areas - IBA</t>
  </si>
  <si>
    <t>Help for discussing the conservation status of key indicator species</t>
  </si>
  <si>
    <t>The discussion on how the protected area's key indicator species are doing could be structured as follows and you could use the table below to capture the results fo the discussion:</t>
  </si>
  <si>
    <t>1. Agree with participants on what the key indicator species are.</t>
  </si>
  <si>
    <t>2. Ask them to think of the key indicator species and how their status has changed compared to 5 years ago for the following 6 attributes:</t>
  </si>
  <si>
    <t>Help for discussing the conservation status of habitats</t>
  </si>
  <si>
    <t>The discussion on how the protected area's habitats are doing could be structured as follows and you could use the table below to capture the results fo the discussion:</t>
  </si>
  <si>
    <t>1. Agree with participants on what the habitats are.</t>
  </si>
  <si>
    <t>2. Ask them to think of the habitats and how their status has changed compared to 5 years ago for the following 4 attributes:</t>
  </si>
  <si>
    <t>3. Then, ask the participants for their reasons of assessing the status the way they did and how they think it could be improved.</t>
  </si>
  <si>
    <t>5. Capture the results for each habitat in the table below.</t>
  </si>
  <si>
    <t>Habitats</t>
  </si>
  <si>
    <t>4. Capture the results for each key indicator species in the table below.</t>
  </si>
  <si>
    <t>5. Finally, summarise the results to answer the question on the previous sheet.</t>
  </si>
  <si>
    <t>Conservation status of habitats</t>
  </si>
  <si>
    <t>Has the status of habitats changed over the last 5 years?</t>
  </si>
  <si>
    <r>
      <t xml:space="preserve">Help for answering this question:
</t>
    </r>
    <r>
      <rPr>
        <sz val="12"/>
        <color theme="1"/>
        <rFont val="Calibri"/>
        <family val="2"/>
        <scheme val="minor"/>
      </rPr>
      <t>This is one of the key questions to find out how well the protected area is doing. If your protected area implements a monitoring protocol to regularly measure the condition of habitats using specific indicators and defined thresholds, the conclusions from your monitoring activities will help answer this question.
Where this is not the case, the condition of the habitats should be discussed with the participants of the METT assessment workshop. The table on the next sheet describes how this could be done.</t>
    </r>
  </si>
  <si>
    <t>Additional points on 7. Management plan</t>
  </si>
  <si>
    <t>Add text here</t>
  </si>
  <si>
    <t>Possible answers</t>
  </si>
  <si>
    <t>Possible additional points</t>
  </si>
  <si>
    <t>Ways forward: Is there anything you are planning to do to maintain the point or improve it?</t>
  </si>
  <si>
    <t>See www.keybiodiversityareas.org/site/search</t>
  </si>
  <si>
    <t>Deteriorating</t>
  </si>
  <si>
    <r>
      <t xml:space="preserve">Help for answering this question:
</t>
    </r>
    <r>
      <rPr>
        <sz val="12"/>
        <color theme="1"/>
        <rFont val="Calibri"/>
        <family val="2"/>
        <scheme val="minor"/>
      </rPr>
      <t>This is one of the key questions to find out how well the protected area is doing. If your protected area implements a monitoring protocol to regularly measure the condition of key indicator species using specific indicators and defined thresholds, the conclusions from your monitoring activities will help answer this question.
Where this is not the case, the condition of the key indicator species should be discussed with the participants of the METT assessment workshop. The table on the next sheet describes how this could be done.
Definition of indicator species: An organism whose presence, absence or abundance reflects a specific environmental condition. Indicator species can signal a change in the biological condition of a particular ecosystem, and thus may be used as a proxy to diagnose the health of an ecosystem. For example, plants or lichens sensitive to heavy metals or acids in precipitation may be indicators of air pollution. Indicator species can also reflect a unique set of environmental qualities or characteristics found in a specific place, such as a unique microclimate. However, care must be exercised in using indicator species. Judging an ecosystem based on the response of a single indicator species might be like taking a pulse on a patient and immediately prescribing a treatment without a) further examination, b) other indicators such as blood pressure, or c) knowledge of the patient’s past medical history (Source: http://eol.org/info/indicator_species).</t>
    </r>
  </si>
  <si>
    <t>Adapted from:
European Commission (2006): Assessment, monitoring and reporting under Article 17 of the Habitats Directive, see https://www.bfn.de/fileadmin/MDB/documents/themen/natura2000/ec_guidance_2006_art17.pdf</t>
  </si>
  <si>
    <t xml:space="preserve"> If Advanced METT assessment was carried out in association with a particular project, on behalf of an organisation or donor, please note them down</t>
  </si>
  <si>
    <t xml:space="preserve">Limited plans have been drawn up about how to adapt management to predicted climate change, which may or may not be implemented </t>
  </si>
  <si>
    <t>Is the protected area consciously managed to adapt to climate change?</t>
  </si>
  <si>
    <t xml:space="preserve"> Is the protected area consciously managed to adapt to climate change?</t>
  </si>
  <si>
    <t>Actions you have identified to improve your management effectiveness</t>
  </si>
  <si>
    <t>Ways forward</t>
  </si>
  <si>
    <t>Possible answers and scores</t>
  </si>
  <si>
    <r>
      <t xml:space="preserve">Your Score 
</t>
    </r>
    <r>
      <rPr>
        <sz val="12"/>
        <color theme="1"/>
        <rFont val="Calibri (Textkörper)"/>
      </rPr>
      <t>(put it in the grey field)</t>
    </r>
  </si>
  <si>
    <t>By when?</t>
  </si>
  <si>
    <t>Who is responsible?</t>
  </si>
  <si>
    <t>Other comments</t>
  </si>
  <si>
    <r>
      <rPr>
        <b/>
        <sz val="12"/>
        <color rgb="FF0070C0"/>
        <rFont val="Calibri (Textkörper)"/>
      </rPr>
      <t>Your additional points</t>
    </r>
    <r>
      <rPr>
        <sz val="12"/>
        <color theme="1"/>
        <rFont val="Calibri"/>
        <family val="2"/>
        <scheme val="minor"/>
      </rPr>
      <t xml:space="preserve"> (add sum)</t>
    </r>
  </si>
  <si>
    <t>Ways to improve</t>
  </si>
  <si>
    <r>
      <t>Help for answering this question:
'</t>
    </r>
    <r>
      <rPr>
        <sz val="12"/>
        <color theme="1"/>
        <rFont val="Calibri"/>
        <family val="2"/>
        <scheme val="minor"/>
      </rPr>
      <t>Adapting' means reducing the vulnerability of natural and human systems against actual or expected climate change effects. Managing for climate change adaptation includes:
1. Building a Strong Foundation: Assembling available knowledge and resources, planning for change, and developing a long-term capacity for informed, flexible management. 
2. Assessing Vulnerability and Risk: Undertaking quantitative or qualitative analyses to determine which species, ecosystems, and other values are most vulnerable to changing conditions, and identifying the key vulnerabilities that pose the greatest risk to achieving conservation goals. 
3. Identifying and Selecting Adaptation Options: Recognizing and prioritizing strategic and tactical actions to achieve short and long term adaptation goals in protected areas. 
4. Implementing Actions: Taking action based on the previous analysis and deliberation. 
5. Monitoring and Adjusting: Measuring indicators of success and failure and use that information to evaluate and recalibrate their decisions. 
For further information, see "Adapting to climate change : guidance for protected area managers and planners" on https://portals.iucn.org/library/node/46685</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t>
    </r>
  </si>
  <si>
    <t>Budget needs</t>
  </si>
  <si>
    <t>Who else needs to be engaged?</t>
  </si>
  <si>
    <t>Advanced METT scores per management element (per cent)</t>
  </si>
  <si>
    <t xml:space="preserve">Are the threats to the main values of the protected area identified, classified and addressed? </t>
  </si>
  <si>
    <t>Carbon capture</t>
  </si>
  <si>
    <t>Is the protected area being consciously managed to prevent carbon loss and to encourage further carbon capture?</t>
  </si>
  <si>
    <t>Carbon storage and carbon dioxide capture have not been considered in management of the protected area</t>
  </si>
  <si>
    <t>Carbon storage and carbon dioxide capture have been considered in general terms, but has not yet been significantly reflected in management</t>
  </si>
  <si>
    <t xml:space="preserve">There are active measures in place to reduce carbon loss from the protected area, but no conscious measures to increase carbon dioxide capture </t>
  </si>
  <si>
    <t>There are active measures in place both to reduce carbon loss from the protected area and to increase carbon dioxide capture</t>
  </si>
  <si>
    <r>
      <t xml:space="preserve">Help for answering this question:
</t>
    </r>
    <r>
      <rPr>
        <sz val="12"/>
        <color theme="1"/>
        <rFont val="Calibri"/>
        <family val="2"/>
        <scheme val="minor"/>
      </rPr>
      <t xml:space="preserve">Methods for "Preventing carbon loss" will depend on the ecosystems being managed. It might involve preventing fire in forests or grasslands where fire is not a necessary part of ecosystem dynamics or managing the timing and intensity of fire in fire-dependent ecosystems. In peatlands, it will involve maintaining natural water regimes and preventing fires from burning the peatlands. If natural vegetation is removed, this frequently also leads to loss of soil carbon (frequently a far larger store than the vegetation itself); the latter will generally take far longer to build up again even if vegetation regrows or is restored. Carbon capture can be enhanced through ecosystem restoration or other habitat management that increases the storage of carbon in standing vegetation or in the soil.
</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t>
    </r>
  </si>
  <si>
    <t>Adapted from:
The Nature Conservancy (2007): Conservation Action Planning Handbook, page 54 (see https://www.conservationgateway.org/Documents/Cap%20Handbook_June2007.pdf).</t>
  </si>
  <si>
    <r>
      <rPr>
        <b/>
        <sz val="12"/>
        <color theme="1"/>
        <rFont val="Calibri"/>
        <family val="2"/>
        <scheme val="minor"/>
      </rPr>
      <t xml:space="preserve">Guidance notes </t>
    </r>
    <r>
      <rPr>
        <sz val="12"/>
        <color theme="1"/>
        <rFont val="Calibri"/>
        <family val="2"/>
        <scheme val="minor"/>
      </rPr>
      <t>including thresholds</t>
    </r>
  </si>
  <si>
    <r>
      <rPr>
        <b/>
        <sz val="12"/>
        <color theme="1"/>
        <rFont val="Calibri"/>
        <family val="2"/>
        <scheme val="minor"/>
      </rPr>
      <t>Notes</t>
    </r>
    <r>
      <rPr>
        <sz val="12"/>
        <color theme="1"/>
        <rFont val="Calibri"/>
        <family val="2"/>
        <scheme val="minor"/>
      </rPr>
      <t xml:space="preserve"> (provide details of the threat in this area)</t>
    </r>
  </si>
  <si>
    <t xml:space="preserve">Help for answering this question:
</t>
  </si>
  <si>
    <t xml:space="preserve">Following growing interest in protected area management effectiveness (PAME), in 1999 the World Bank/WWF Alliance for Forest Conservation and Sustainable Use set a target of: 50 million hectares of existing but highly threatened forest protected areas to be secured under effective management by the year 2005. Various methods were used to measure the target, culminating in development of the Management Effectiveness Tracking Tool (METT), a simple, questionnaire type approach to assessing PAME. The METT has since become the commonest PAME tool, used in over 3,500 protected areas covering over 4.2 million km2 (i.e. over a fifth of the world’s terrestrial protected areas by area) in at least 127 countries. The METT is aligned to IUCN WCPA’s PAME Framework which guides most of the PAME tools developed worldwide. The METT has been used by many governments, nearly all the big international NGOs working on conservation issues, as well as by conservation conventions (e.g. R-METT), major funders (most significantly the GEF), academics and researchers. The METT consists of two main sections: datasheets of key information on the protected area and an assessment form containing a questionnaire with four alternative responses to 30 questions, each with an associated score, a data field for notes and a justification for the answers, and a place to list steps to improve management if necessary. The METT is strongest at measuring the effectiveness of management and weaker at reflecting overall conservation results. It was designed primarily to track progress over time at a single site and to identify actions to address any management weaknesses; rather than to compare management between different sites. However, the development of a large global database of METT results has encouraged several comparative analyses, to identify those management processes critical to success. 
Experience has shown that many users do not apply the METT as effectively as possible, in particular focusing on the score rather than the list of necessary next steps (a checklist of how management needs to change). In addition, there is confusion about interpretation of some of the questions. The METT Handbook (Stolton and Dudley, 2016) was produced after an extensive review of METT implementation worldwide; the handbook aims to improve the efficacy with which the METT is applied. It includes detailed additional guidance on the application of the METT and best practices for developing, implementing and using the results of the METT. Best practices are summarised below.
</t>
  </si>
  <si>
    <t xml:space="preserve">Carefully plan the METT implementation </t>
  </si>
  <si>
    <t>Review the METT before undertaking the assessment and assess and compile the information available to complete it. Then think about capacity and pre-assessment training needs, adaptation, timing, scope and scale, verification, etc. Identify and invite specialist staff, external experts and key stakeholders to participate in the assessment where possible (see point 7 below).</t>
  </si>
  <si>
    <t>1. Plan the implementation process</t>
  </si>
  <si>
    <t>2. Allow enough time to complete the assessment in full.</t>
  </si>
  <si>
    <t xml:space="preserve">A good METT cannot be done in a quick hour; most questions take serious thought. The first METT is likely to take at least a day, probably two. Subsequent repeat METTs may be a little quicker. </t>
  </si>
  <si>
    <t>3. Complete all the METT including all questions on the datasheets and narrative sections related to the multiple choice questions.</t>
  </si>
  <si>
    <t>The next steps section is essential as the steps identified create a quick check list of actions which can be taken to improve management.</t>
  </si>
  <si>
    <t xml:space="preserve">4. Use quantitative data wherever available to support assessment. </t>
  </si>
  <si>
    <t>Quantitative data is particularly important when answering the outcome questions.</t>
  </si>
  <si>
    <t xml:space="preserve">Adapt and translate </t>
  </si>
  <si>
    <t xml:space="preserve">5. Adaptation is encouraged. </t>
  </si>
  <si>
    <t xml:space="preserve">The METT is a generic tool designed for global use; thus it is unlikely to fit one protected area (or system, type etc) of area perfectly. Ideally the adaptations keep the basic format of the METT, adding to, rather than changing, the wording of the METT (e.g. providing additional advice on interpretation for local conditions or by additional questions). </t>
  </si>
  <si>
    <t xml:space="preserve">Repeat the assessment </t>
  </si>
  <si>
    <t>6. The METT is designed to track progress over time.</t>
  </si>
  <si>
    <t xml:space="preserve">Sites/networks planning to implement the METT should thus aim to repeat the assessments every few years; ideally the METT should be an automatic part of annual planning. </t>
  </si>
  <si>
    <t xml:space="preserve">Consult and get consensus </t>
  </si>
  <si>
    <t>7. The implementation of the METT should wherever possible include a wide range of rightsholders and stakeholders to aid insight in the assessment results.</t>
  </si>
  <si>
    <t>Ideally this should include people living inside and outside the protected area, such as local communities, to bring richer insights to management effectiveness.</t>
  </si>
  <si>
    <t xml:space="preserve">Build capacity and guidance </t>
  </si>
  <si>
    <t>8. Capacity building is advisable so that all participants understand PAME.</t>
  </si>
  <si>
    <t>Although designed as a simple tool, implementing the METT may be the first time protected area staff and other rightsholders and stakeholders have been involved in assessing PAME.</t>
  </si>
  <si>
    <t>9. Developing an understanding of the METT and how it can be implemented in a specific jurisdiction will help ensure valid results.</t>
  </si>
  <si>
    <t xml:space="preserve">As a generic tool the METT questions can be interpreted differently in different situations/jurisdictions, thus reviewing the METT and developing guidance on implementation will help ensure its usefulness. </t>
  </si>
  <si>
    <t xml:space="preserve">Verify results </t>
  </si>
  <si>
    <t xml:space="preserve">10. Verification processes can be useful. </t>
  </si>
  <si>
    <t>Although designed as a self-assessment tool, METT implementation can involve verification processes; from simple checking of completed METTs by external assessors to more detailed field verification exercises involving data collection.</t>
  </si>
  <si>
    <t xml:space="preserve">Implement recommendations </t>
  </si>
  <si>
    <t xml:space="preserve">11. Using and disseminating the results. </t>
  </si>
  <si>
    <t>Completing the METT is only the first step of the assessment; the implementation process should include adaptive management (e.g. a plan of action).</t>
  </si>
  <si>
    <t>Reference</t>
  </si>
  <si>
    <t>Stolton, S. &amp; Dudley, N. (2016). METT Handbook: A guide to using the Management Effectiveness Tracking Tool (METT), WWF-UK, Woking. https://www.protectedplanet.net/system/comfy/cms/files/files/000/000/045/original/WWF_METT_Handbook_2016_FINAL.pdf</t>
  </si>
  <si>
    <r>
      <t xml:space="preserve">Help for answering:
</t>
    </r>
    <r>
      <rPr>
        <sz val="12"/>
        <color theme="1"/>
        <rFont val="Calibri"/>
        <family val="2"/>
        <scheme val="minor"/>
      </rPr>
      <t xml:space="preserve">30a) Monitoring: 
30b) Management programmes: 
30c) Routine part of management: 
</t>
    </r>
  </si>
  <si>
    <t xml:space="preserve">Annual visitor Numbers
</t>
  </si>
  <si>
    <t xml:space="preserve">Extent  </t>
  </si>
  <si>
    <t>Very High: The threat is likely to be widespread or pervasive in its scope and affect the value throughout the value's occurrences at the site.</t>
  </si>
  <si>
    <t>High: The threat is likely to be widespread in its scope and affect the value at many of its locations at the site.</t>
  </si>
  <si>
    <t>Medium: The threat is likely to be localized in its scope and affect the value at some of the target's locations at the  site.</t>
  </si>
  <si>
    <t>Low: The threat is likely to be very localized in its scope and affect the value at a limited portion of the value's location at the site.</t>
  </si>
  <si>
    <t>Severity</t>
  </si>
  <si>
    <t>Very High: The threat is likely to destroy or eliminate the value over some portion of the value's occurrence at the site.</t>
  </si>
  <si>
    <t>High: The threat is likely to seriously degrade the value over some portion of the value's occurrence at the site.</t>
  </si>
  <si>
    <t>Medium: The threat is likely to moderately degrade the value over some portion of the value's occurrence at the site.</t>
  </si>
  <si>
    <t>Low: The threat is likely to only slightly impair the value over some portion of the value's occurrence at the site.</t>
  </si>
  <si>
    <t>Impacts from cultural and religious tourism</t>
  </si>
  <si>
    <t>Loss of land tenure (including land grabbing)</t>
  </si>
  <si>
    <t>13. Governance problems</t>
  </si>
  <si>
    <t>Conflicting policies across sectors</t>
  </si>
  <si>
    <t>Confusion about government roles and responsibilities</t>
  </si>
  <si>
    <t>Evidence and justification: What are the reasons for choosing this score?</t>
  </si>
  <si>
    <t>Evidence and justification: What are the reasons for adding points?</t>
  </si>
  <si>
    <t>Max %</t>
  </si>
  <si>
    <t>Your Element %</t>
  </si>
  <si>
    <t>Adopted from:
Protected Area Solutions (2016): Methodology for assessment of protected area management effectiveness “Papua New Guinea Protected Areas Assessment Project”</t>
  </si>
  <si>
    <r>
      <t xml:space="preserve">Help for answering this question:
</t>
    </r>
    <r>
      <rPr>
        <sz val="12"/>
        <color theme="1"/>
        <rFont val="Calibri"/>
        <family val="2"/>
        <scheme val="minor"/>
      </rPr>
      <t xml:space="preserve">This should consider the threats identified in the threat assessment as having the greatest extent and severity.
</t>
    </r>
    <r>
      <rPr>
        <b/>
        <sz val="12"/>
        <color theme="1"/>
        <rFont val="Calibri"/>
        <family val="2"/>
        <scheme val="minor"/>
      </rPr>
      <t xml:space="preserve">
</t>
    </r>
  </si>
  <si>
    <t>The threats to the main values are not being addressed by management</t>
  </si>
  <si>
    <t>Management of threats to the main values is only being conducted at a minimal level</t>
  </si>
  <si>
    <t>Most of the significant threats to the main values are being substantially addressed by management</t>
  </si>
  <si>
    <t>The threats to the main values hare being comprehensively addressed by management</t>
  </si>
  <si>
    <t>This question is not relevant to this PA</t>
  </si>
  <si>
    <t>Do protected area  staff have safe working conditions and does management prioritise safety?</t>
  </si>
  <si>
    <t>Help for answering this question:</t>
  </si>
  <si>
    <t>Possible scores</t>
  </si>
  <si>
    <t>There are serious threats to staff safety (e.g.  conflicts, dangerous conditions etc) and staff safety is seriously compromised  due to lack of effective measures to mitigate threats and no support (e.g. suitable equipment, medical and life insurance etc) is provided to minimise impacts</t>
  </si>
  <si>
    <t>Staff safety is poor due to lack of effective measures to mitigate threats and no support  (e.g. suitable equipment, medical and life insurance etc) is provided to minimise impacts</t>
  </si>
  <si>
    <t>Staff safety is an important consideration for protected area managers and steps are taken to mitigate threats and provide support  (e.g. suitable equipment, medical and life insurance etc) to minimise impacts, but improvements could be made</t>
  </si>
  <si>
    <t>Staff safety is an important consideration for protected area managers and all reasonable steps are taken to mitigate threats and provide support (e.g. suitable equipment, medical and life insurance etc) to minimise impacts</t>
  </si>
  <si>
    <t>Evidence and justification What are the reasons for choosing this score?</t>
  </si>
  <si>
    <t>Staff Security</t>
  </si>
  <si>
    <t>Management of threats</t>
  </si>
  <si>
    <t>Sound pollution (especially from roads)</t>
  </si>
  <si>
    <t>Help for answering this question:
Issues to think about: Inadequate staff (number and skills), familiarity of staff with the local, prosecution. A score of 3 means that you are able to patrol the protected area, that there is minimum enfringement, and the probability to catch an offender is very high.</t>
  </si>
  <si>
    <t>Help for answering this question:
Think about management plans, gazettement documents, whether the protected area is protected with other overlapping international designations which might have different objectives (e.g. UNESCO Man and Biosphere Reserve, Ramsar).</t>
  </si>
  <si>
    <t>Help for answering this question:
Think about what your constaints are and whether this is impacting your management.</t>
  </si>
  <si>
    <r>
      <t xml:space="preserve">Help for answering this question:
</t>
    </r>
    <r>
      <rPr>
        <sz val="12"/>
        <color theme="1"/>
        <rFont val="Calibri"/>
        <family val="2"/>
        <scheme val="minor"/>
      </rPr>
      <t>Think about whether the management plan is being implemented and you have done everything that the plan asks you to do. The management plan only refers to this plan. It doesn’t refer to any other plan (for example: restoration plan, etc).</t>
    </r>
  </si>
  <si>
    <r>
      <t>Help for answering:</t>
    </r>
    <r>
      <rPr>
        <sz val="12"/>
        <color theme="1"/>
        <rFont val="Calibri"/>
        <family val="2"/>
        <scheme val="minor"/>
      </rPr>
      <t xml:space="preserve">
Planning process:
7a) “Key stakeholders” in this case refers to people beyond the immediate management authority; such as local communities or indigenous peoples living in or near the protected area, sometimes also tourism operators, local government and industry. If there has been no such involvement, the "planning" section should identify those people who should be involved in the future.
7b) Many formal management plans cover 5-10 year periods. But things can change over this length of time;. For example, new pressures can develop, new opportunities can arise. This question captures whether there is a way to make sure such changes are integrated into management, and lessons learned as management proceeds.
7c) The fact that monitoring takes place, and assessments are carried out, is no guarantee that the results are incorporated into management. The question addresses this and, if answered negatively, the "planning" section should include concrete, time-bound proposals to address the lack.
If you dont have a management plan, put '0'.</t>
    </r>
  </si>
  <si>
    <t>Help for answering this question:
You can answer this question even if you don’t have a management plan in place.</t>
  </si>
  <si>
    <r>
      <t xml:space="preserve">Help for answering this question:
</t>
    </r>
    <r>
      <rPr>
        <sz val="12"/>
        <color theme="1"/>
        <rFont val="Calibri"/>
        <family val="2"/>
        <scheme val="minor"/>
      </rPr>
      <t>You may not have all the information, but do you have the important information that you need?</t>
    </r>
  </si>
  <si>
    <r>
      <t xml:space="preserve">Help for answering this question: </t>
    </r>
    <r>
      <rPr>
        <sz val="12"/>
        <color theme="1"/>
        <rFont val="Calibri"/>
        <family val="2"/>
        <scheme val="minor"/>
      </rPr>
      <t>This question focusses specifically on research and survey work (whereas question 26 looks specifically at monitoring)</t>
    </r>
    <r>
      <rPr>
        <b/>
        <sz val="12"/>
        <color rgb="FFFF0000"/>
        <rFont val="Calibri"/>
        <family val="2"/>
        <scheme val="minor"/>
      </rPr>
      <t xml:space="preserve">
</t>
    </r>
  </si>
  <si>
    <r>
      <t>Help for answering this question:</t>
    </r>
    <r>
      <rPr>
        <sz val="12"/>
        <color theme="1"/>
        <rFont val="Calibri"/>
        <family val="2"/>
        <scheme val="minor"/>
      </rPr>
      <t xml:space="preserve"> This includes active management such as invasive species control, restoration, fire control etc
</t>
    </r>
  </si>
  <si>
    <r>
      <t>Help for answering this question:</t>
    </r>
    <r>
      <rPr>
        <b/>
        <sz val="12"/>
        <color rgb="FFFF0000"/>
        <rFont val="Calibri"/>
        <family val="2"/>
        <scheme val="minor"/>
      </rPr>
      <t xml:space="preserve"> </t>
    </r>
    <r>
      <rPr>
        <sz val="12"/>
        <color theme="1"/>
        <rFont val="Calibri"/>
        <family val="2"/>
        <scheme val="minor"/>
      </rPr>
      <t>This addresses whether staff have the necessary skills to effectively do their job and whether training programs help develop these necessary skills where they need further development</t>
    </r>
    <r>
      <rPr>
        <b/>
        <sz val="12"/>
        <color theme="1"/>
        <rFont val="Calibri"/>
        <family val="2"/>
        <scheme val="minor"/>
      </rPr>
      <t xml:space="preserve">
</t>
    </r>
  </si>
  <si>
    <r>
      <t xml:space="preserve">Help for answering this question: </t>
    </r>
    <r>
      <rPr>
        <sz val="12"/>
        <color theme="1"/>
        <rFont val="Calibri"/>
        <family val="2"/>
        <scheme val="minor"/>
      </rPr>
      <t>Most PAs have budget deficiencies and could use additional funds. The adequacy of budget needs to be assessed in terms of what level of management can be supported. This should consider all available budget at the time including project funds and donor support. Indicator 16 considers security of funding where the uncertaintity that can be associated with dependence on donor or project budgets can be assessed. It is important to answer this question in terms of how much budget is needed to fulfil the management plan and site objectives, not just the fulfilment of the annual workplan submitted to the ministry.</t>
    </r>
    <r>
      <rPr>
        <b/>
        <sz val="12"/>
        <color theme="1"/>
        <rFont val="Calibri"/>
        <family val="2"/>
        <scheme val="minor"/>
      </rPr>
      <t xml:space="preserve">
</t>
    </r>
  </si>
  <si>
    <r>
      <t xml:space="preserve">Help for answering this question: </t>
    </r>
    <r>
      <rPr>
        <sz val="12"/>
        <color theme="1"/>
        <rFont val="Calibri"/>
        <family val="2"/>
        <scheme val="minor"/>
      </rPr>
      <t xml:space="preserve">This indicator addresses the long-term security of the budget where project or donor funding may be very variable. If there is a multi-year agreement in place to provide funds through a project or from a donor then this </t>
    </r>
    <r>
      <rPr>
        <b/>
        <sz val="12"/>
        <color theme="1"/>
        <rFont val="Calibri"/>
        <family val="2"/>
        <scheme val="minor"/>
      </rPr>
      <t xml:space="preserve">
</t>
    </r>
  </si>
  <si>
    <r>
      <t xml:space="preserve">Help for answering this question: </t>
    </r>
    <r>
      <rPr>
        <sz val="12"/>
        <color theme="1"/>
        <rFont val="Calibri"/>
        <family val="2"/>
        <scheme val="minor"/>
      </rPr>
      <t>Think whether there are some discrepancies between the time when you receive the funding and the time when you need to spend it (is it sufficient time?), whether there are some administrative procedures that delay the work.</t>
    </r>
    <r>
      <rPr>
        <b/>
        <sz val="12"/>
        <color theme="1"/>
        <rFont val="Calibri"/>
        <family val="2"/>
        <scheme val="minor"/>
      </rPr>
      <t xml:space="preserve">
</t>
    </r>
  </si>
  <si>
    <t xml:space="preserve">Are equipment and facilities sufficient for management needs?
</t>
  </si>
  <si>
    <r>
      <t>Help for answering this question:</t>
    </r>
    <r>
      <rPr>
        <sz val="12"/>
        <rFont val="Calibri"/>
        <family val="2"/>
        <scheme val="minor"/>
      </rPr>
      <t xml:space="preserve"> Facilities can be buildings and other important infrasctrutures that you need in the park.
It is best to first list the major types of facilities and equipment needed in the justification and then assess whether you have sufficient of each for management. With this evidence documented, you can then assign a score.
</t>
    </r>
  </si>
  <si>
    <r>
      <t xml:space="preserve">Help for answering this question:
</t>
    </r>
    <r>
      <rPr>
        <sz val="12"/>
        <rFont val="Calibri"/>
        <family val="2"/>
        <scheme val="minor"/>
      </rPr>
      <t xml:space="preserve">Use the list of major types of facilities and equipment developed in the justification for Indicator 18 and then assess whether each is regularly maintained. With this evidence documented, you can then assign a score. Large amounts of money are wasted in protected areas because equipment is broken and never repaired, either because there is no-one available with the skills to carry out simple maintenance or because a culture develops where replacement becomes the norm. If this question scores low, the "Ways forward" field should suggest practical ways of addressing this, either by identifying or employing a maintenance officer (for instance from the local community) or introducing training to ensure that protected area staff have the requisite skills themselves. </t>
    </r>
  </si>
  <si>
    <r>
      <t xml:space="preserve">Help for answering this question: </t>
    </r>
    <r>
      <rPr>
        <sz val="12"/>
        <rFont val="Calibri"/>
        <family val="2"/>
        <scheme val="minor"/>
      </rPr>
      <t>Includes both formal education programs (for example with schools) but also awareness programs with local communities and other stakeholder groups. Need to consider what is appropriate depending on the location and context of the protected area (is there much tourism, are there local communities who interact with the PA).</t>
    </r>
    <r>
      <rPr>
        <b/>
        <sz val="12"/>
        <color theme="1"/>
        <rFont val="Calibri"/>
        <family val="2"/>
        <scheme val="minor"/>
      </rPr>
      <t xml:space="preserve">
</t>
    </r>
  </si>
  <si>
    <r>
      <t xml:space="preserve">Help for answering this question: </t>
    </r>
    <r>
      <rPr>
        <sz val="12"/>
        <rFont val="Calibri"/>
        <family val="2"/>
        <scheme val="minor"/>
      </rPr>
      <t>While planning for land and water use outside the PA is generally outside the control of the PA manager, the decisions made can significantly affect the PA so it is important that the potential impacts of plans are assessed. Examples could include upstream dams that cut of water flows or large scale clearing in surrounding areas that isolate the PA from other habitat areas. Has infrastructure such as dams and roads been built and managed in a way that takes conservation issues of the PA into account by maintaining  necessary water flows or providing wildlife crossing points</t>
    </r>
    <r>
      <rPr>
        <sz val="12"/>
        <color theme="1"/>
        <rFont val="Calibri"/>
        <family val="2"/>
        <scheme val="minor"/>
      </rPr>
      <t xml:space="preserve">
</t>
    </r>
  </si>
  <si>
    <r>
      <t>Help for answering:</t>
    </r>
    <r>
      <rPr>
        <sz val="12"/>
        <color theme="1"/>
        <rFont val="Calibri"/>
        <family val="2"/>
        <scheme val="minor"/>
      </rPr>
      <t xml:space="preserve">
21a) </t>
    </r>
    <r>
      <rPr>
        <sz val="12"/>
        <rFont val="Calibri"/>
        <family val="2"/>
        <scheme val="minor"/>
      </rPr>
      <t>Management in the wider landscape to manage the PA
21b) Management for connectivity to link the PA to other habitat
21c) Management of the wider landscape to provide for the needs of species and habitats</t>
    </r>
  </si>
  <si>
    <r>
      <t xml:space="preserve">Help for answering this question: </t>
    </r>
    <r>
      <rPr>
        <sz val="12"/>
        <rFont val="Calibri"/>
        <family val="2"/>
        <scheme val="minor"/>
      </rPr>
      <t>This question does not address local community land users but focusses on government and large commercial or industrial land users.</t>
    </r>
    <r>
      <rPr>
        <b/>
        <sz val="12"/>
        <color theme="1"/>
        <rFont val="Calibri"/>
        <family val="2"/>
        <scheme val="minor"/>
      </rPr>
      <t xml:space="preserve">
</t>
    </r>
  </si>
  <si>
    <r>
      <t>Help for answering this question:</t>
    </r>
    <r>
      <rPr>
        <b/>
        <sz val="12"/>
        <color rgb="FFFF0000"/>
        <rFont val="Calibri"/>
        <family val="2"/>
        <scheme val="minor"/>
      </rPr>
      <t xml:space="preserve"> </t>
    </r>
    <r>
      <rPr>
        <sz val="12"/>
        <rFont val="Calibri"/>
        <family val="2"/>
        <scheme val="minor"/>
      </rPr>
      <t>To what extent indigenous people have the opportunity to be heard? Inputs can be through formal consultation or less formal contact. If possible, it would be useful to also discuss with the indigenous people and understand how included they feel. If there are no indigenous people, then don't feel this question but explain that there are no indigenous people in the 'evidence and justification' below.</t>
    </r>
  </si>
  <si>
    <r>
      <t xml:space="preserve">Help for answering:
</t>
    </r>
    <r>
      <rPr>
        <sz val="12"/>
        <color theme="1"/>
        <rFont val="Calibri"/>
        <family val="2"/>
        <scheme val="minor"/>
      </rPr>
      <t xml:space="preserve">24a) Open communication: 
24b) Programmes of community welfare: </t>
    </r>
    <r>
      <rPr>
        <sz val="12"/>
        <rFont val="Calibri"/>
        <family val="2"/>
        <scheme val="minor"/>
      </rPr>
      <t>These programmes can be various nature with two objectives: improve livehiloods and improve the conservation of protected areas.</t>
    </r>
    <r>
      <rPr>
        <sz val="12"/>
        <color theme="1"/>
        <rFont val="Calibri"/>
        <family val="2"/>
        <scheme val="minor"/>
      </rPr>
      <t xml:space="preserve">
24c) Active support: </t>
    </r>
    <r>
      <rPr>
        <sz val="12"/>
        <rFont val="Calibri"/>
        <family val="2"/>
        <scheme val="minor"/>
      </rPr>
      <t>Do the local communties and indigenous people upport the protected area?</t>
    </r>
  </si>
  <si>
    <r>
      <t xml:space="preserve">Help for answering this question: </t>
    </r>
    <r>
      <rPr>
        <sz val="12"/>
        <rFont val="Calibri"/>
        <family val="2"/>
        <scheme val="minor"/>
      </rPr>
      <t>Includes consideration of economic benefits from ecosystem services, benefits from employment of local people as staff or in tourism businesses that depend on the PA, and other sources of income linked to the existence of the PA. To score 3 on this indicator, economic activity associated with the PA should be a substantial contributor to the local economy. This indicator only refers to economic benefits arising from legal or sanctioned activities not those arising from illegal activities</t>
    </r>
    <r>
      <rPr>
        <b/>
        <sz val="12"/>
        <color theme="1"/>
        <rFont val="Calibri"/>
        <family val="2"/>
        <scheme val="minor"/>
      </rPr>
      <t xml:space="preserve">
</t>
    </r>
  </si>
  <si>
    <t xml:space="preserve">Is regular monitoring of important aspects of the protected area and its management carried out with results used to inform management?
</t>
  </si>
  <si>
    <r>
      <t>Help for answering this question:</t>
    </r>
    <r>
      <rPr>
        <b/>
        <sz val="12"/>
        <rFont val="Calibri"/>
        <family val="2"/>
        <scheme val="minor"/>
      </rPr>
      <t xml:space="preserve"> </t>
    </r>
    <r>
      <rPr>
        <sz val="12"/>
        <rFont val="Calibri"/>
        <family val="2"/>
        <scheme val="minor"/>
      </rPr>
      <t>If there is no visitation then this question is not relevant. Issue of adequacy and appropriateness is critical, PAs with low visitation don't require extensive visitor facilities and we should not aim for uniform levels of visitor facilities across all PAs. Should mostly consider facilities inside the PA but also may consider facilities immediatley adjacent to the PA where these impact on the visitor experience directly.</t>
    </r>
  </si>
  <si>
    <r>
      <t xml:space="preserve">Help for answering this question:
</t>
    </r>
    <r>
      <rPr>
        <sz val="12"/>
        <color theme="1"/>
        <rFont val="Calibri"/>
        <family val="2"/>
        <scheme val="minor"/>
      </rPr>
      <t xml:space="preserve">Tourism can be a help or an obstacle to protected areas. In addition, protected areas attract tourists and can therefore increase trade. Tourism operators should be protected area partners but this doesn’t always happen. If this question generates a low score, the "Ways forward" field could identify some of the key people it would  be important to talk to and develop cooperation with. </t>
    </r>
    <r>
      <rPr>
        <sz val="12"/>
        <rFont val="Calibri"/>
        <family val="2"/>
        <scheme val="minor"/>
      </rPr>
      <t>If there are no commercial tourism operators working in the PA then this question is not relevant and should not be completed.</t>
    </r>
  </si>
  <si>
    <r>
      <t>Help for answering this question:</t>
    </r>
    <r>
      <rPr>
        <sz val="12"/>
        <color theme="1"/>
        <rFont val="Calibri"/>
        <family val="2"/>
        <scheme val="minor"/>
      </rPr>
      <t xml:space="preserve"> Consider the values specified in the Protected Area Attributes datasheet</t>
    </r>
    <r>
      <rPr>
        <b/>
        <sz val="12"/>
        <color theme="1"/>
        <rFont val="Calibri"/>
        <family val="2"/>
        <scheme val="minor"/>
      </rPr>
      <t xml:space="preserve">
</t>
    </r>
  </si>
  <si>
    <r>
      <t>Are the threats to the main values of the protected area</t>
    </r>
    <r>
      <rPr>
        <b/>
        <sz val="12"/>
        <color rgb="FFFF0000"/>
        <rFont val="Calibri"/>
        <family val="2"/>
        <scheme val="minor"/>
      </rPr>
      <t xml:space="preserve"> </t>
    </r>
    <r>
      <rPr>
        <b/>
        <sz val="12"/>
        <color rgb="FF0070C0"/>
        <rFont val="Calibri"/>
        <family val="2"/>
        <scheme val="minor"/>
      </rPr>
      <t xml:space="preserve">being effectively </t>
    </r>
    <r>
      <rPr>
        <b/>
        <sz val="12"/>
        <color theme="4"/>
        <rFont val="Calibri"/>
        <family val="2"/>
        <scheme val="minor"/>
      </rPr>
      <t xml:space="preserve">addressed? </t>
    </r>
  </si>
  <si>
    <t xml:space="preserve">Name of protected area </t>
  </si>
  <si>
    <t>WDPA site code</t>
  </si>
  <si>
    <t>National Designations</t>
  </si>
  <si>
    <t xml:space="preserve">IUCN Protected Area Category </t>
  </si>
  <si>
    <r>
      <rPr>
        <b/>
        <sz val="12"/>
        <color rgb="FF0070C0"/>
        <rFont val="Calibri (Textkörper)"/>
      </rPr>
      <t>International Designations</t>
    </r>
    <r>
      <rPr>
        <sz val="12"/>
        <rFont val="Calibri"/>
        <family val="2"/>
        <scheme val="minor"/>
      </rPr>
      <t xml:space="preserve"> </t>
    </r>
  </si>
  <si>
    <t>World Heritage</t>
  </si>
  <si>
    <t>Criteria for designation (criteria i to x)</t>
  </si>
  <si>
    <t>Statement of Outstanding Universal Value</t>
  </si>
  <si>
    <t>Ramsar</t>
  </si>
  <si>
    <t xml:space="preserve">Reason for designation, (see Ramsar Information Sheet) </t>
  </si>
  <si>
    <r>
      <t>Size of protected area</t>
    </r>
    <r>
      <rPr>
        <sz val="12"/>
        <color theme="1"/>
        <rFont val="Calibri (Textkörper)"/>
      </rPr>
      <t xml:space="preserve"> (in ha)</t>
    </r>
  </si>
  <si>
    <t>Number of staff (add numbers)</t>
  </si>
  <si>
    <t>Permanent</t>
  </si>
  <si>
    <t>Temporary (Including project staff of International organizations)</t>
  </si>
  <si>
    <t>Annual budget</t>
  </si>
  <si>
    <t>Recurrent (operational) funds</t>
  </si>
  <si>
    <t>Project or other supplementary funds</t>
  </si>
  <si>
    <t>What are the main values for which the area is designated?</t>
  </si>
  <si>
    <t>List the two most important protected area management objectives</t>
  </si>
  <si>
    <t>Management objective 1</t>
  </si>
  <si>
    <t>Management objective 2</t>
  </si>
  <si>
    <t xml:space="preserve">Name, affiliation and contact details (email etc.) of person responsible for completing the METT </t>
  </si>
  <si>
    <t>Date METT assessment carried out</t>
  </si>
  <si>
    <t>Threats from long-term climatic changes which may be linked to global warming and other severe climatic/ weather events outside of the natural range of variation</t>
  </si>
  <si>
    <t xml:space="preserve">Droughts </t>
  </si>
  <si>
    <t xml:space="preserve">Temperature extremes </t>
  </si>
  <si>
    <t xml:space="preserve">Storms and flooding </t>
  </si>
  <si>
    <t xml:space="preserve">12. Specific cultural and social threats </t>
  </si>
  <si>
    <t xml:space="preserve">Natural deterioration of important cultural site values </t>
  </si>
  <si>
    <t xml:space="preserve">Destruction of cultural heritage buildings, gardens, sites etc </t>
  </si>
  <si>
    <t>1: Residential and commercial development within a protected area</t>
  </si>
  <si>
    <t xml:space="preserve">Housing and settlement </t>
  </si>
  <si>
    <t>Threats from human settlements or other non-agricultural land uses with a substantial footprint</t>
  </si>
  <si>
    <t>Commercial and industrial areas</t>
  </si>
  <si>
    <t xml:space="preserve">Tourism and recreation infrastructure </t>
  </si>
  <si>
    <t>2: Agriculture and aquaculture within a protected area (including silviculture and mariculture)</t>
  </si>
  <si>
    <t xml:space="preserve">Threats from farming and grazing as a result of agricultural expansion and intensification, including silviculture, mariculture and aquaculture </t>
  </si>
  <si>
    <t>Drug cultivation</t>
  </si>
  <si>
    <t xml:space="preserve">Wood and pulp plantations 
</t>
  </si>
  <si>
    <t xml:space="preserve"> Livestock farming and grazing </t>
  </si>
  <si>
    <t xml:space="preserve">Marine and freshwater aquaculture </t>
  </si>
  <si>
    <t xml:space="preserve">3. Energy production and mining </t>
  </si>
  <si>
    <t xml:space="preserve">Oil and gas drilling </t>
  </si>
  <si>
    <t xml:space="preserve">Threats from production of non-biological resources </t>
  </si>
  <si>
    <t xml:space="preserve">Energy generation, including from hydropower dams, wind farms and solar panels  </t>
  </si>
  <si>
    <t>4. Transportation and service corridors</t>
  </si>
  <si>
    <t xml:space="preserve">Roads and railroads (include road-killed animals) </t>
  </si>
  <si>
    <t xml:space="preserve">Threats from long narrow transport corridors and the vehicles that use them including associated wildlife mortality </t>
  </si>
  <si>
    <t xml:space="preserve">Utility and service lines (e.g. electricity cables, telephone lines,) </t>
  </si>
  <si>
    <t>Shipping lanes and canals</t>
  </si>
  <si>
    <t>Flight paths</t>
  </si>
  <si>
    <t xml:space="preserve">5. Biological resource use and harm </t>
  </si>
  <si>
    <t xml:space="preserve">Hunting, killing and collecting terrestrial (native) animals (including killing of animals as a result of human/wildlife conflict) </t>
  </si>
  <si>
    <t xml:space="preserve">Threats from consumptive use of "wild" biological resources including both deliberate and unintentional harvesting effects; also persecution or control of specific species (note this includes hunting and killing of animals) </t>
  </si>
  <si>
    <t xml:space="preserve">Gathering terrestrial (native) plants or plant products (non-timber) </t>
  </si>
  <si>
    <t xml:space="preserve">Logging </t>
  </si>
  <si>
    <t xml:space="preserve">Fishing, killing and harvesting (native) aquatic resources </t>
  </si>
  <si>
    <t xml:space="preserve">6. Human intrusions and disturbance </t>
  </si>
  <si>
    <t>Recreational activities and tourism</t>
  </si>
  <si>
    <t>Threats from human activities that alter, destroy or disturb habitats and species associated with non-consumptive uses of biological resources</t>
  </si>
  <si>
    <t xml:space="preserve">War, civil unrest and military exercises </t>
  </si>
  <si>
    <t xml:space="preserve"> Research, education and other activities </t>
  </si>
  <si>
    <t>Activities of park authority (e.g. construction or vehicle use, artificial watering points and dams)</t>
  </si>
  <si>
    <t xml:space="preserve">7. Natural system modifications </t>
  </si>
  <si>
    <t xml:space="preserve">Habitat clearing </t>
  </si>
  <si>
    <t>Threats from other actions that convert or degrade habitat or change the way the ecosystem functions.</t>
  </si>
  <si>
    <t>Fire and fire suppression (including arson)</t>
  </si>
  <si>
    <t xml:space="preserve">Dams, hydrological modification and water management/use </t>
  </si>
  <si>
    <t xml:space="preserve">Increased fragmentation  </t>
  </si>
  <si>
    <t xml:space="preserve">Isolation from other natural habitat (e.g. deforestation, dams without effective aquatic wildlife passages) </t>
  </si>
  <si>
    <t xml:space="preserve">Other ‘edge effects’ on park values </t>
  </si>
  <si>
    <t>Loss of keystone species (e.g. top predators, pollinators etc)</t>
  </si>
  <si>
    <t xml:space="preserve">7a. Hydrological change </t>
  </si>
  <si>
    <t xml:space="preserve">Dams within or upstream of site altering hydrological regime </t>
  </si>
  <si>
    <t xml:space="preserve">Water extraction/diversion within site or catchment </t>
  </si>
  <si>
    <t xml:space="preserve">Excess ponding of water in site (e.g. for flood storage) </t>
  </si>
  <si>
    <t xml:space="preserve">Loss of hydrological connectivity (e.g. via stop banks) </t>
  </si>
  <si>
    <t xml:space="preserve">Drought conditions </t>
  </si>
  <si>
    <t xml:space="preserve">8. Invasive and other problematic species and genes </t>
  </si>
  <si>
    <t xml:space="preserve"> Invasive non-native/alien plants (weeds) </t>
  </si>
  <si>
    <t xml:space="preserve">Invasive non-native/alien animals </t>
  </si>
  <si>
    <t xml:space="preserve">Pathogens (non-native or native but creating new/increased problems) </t>
  </si>
  <si>
    <t xml:space="preserve">Introduced genetic material (e.g. genetically modified organisms) </t>
  </si>
  <si>
    <t xml:space="preserve">9. Pollution entering or generated  </t>
  </si>
  <si>
    <t xml:space="preserve">Household sewage and urban waste water 
</t>
  </si>
  <si>
    <t xml:space="preserve">Threats from introduction of exotic and/or excess materials or energy from point and non-point sources </t>
  </si>
  <si>
    <t>Sewage and waste water from PA facilities (e.g. toilets, hotels etc)</t>
  </si>
  <si>
    <t>Industrial, mining and military effluents and discharges (e.g. unnatural temperatures, de-oxygenated, higher salinity, other pollution)</t>
  </si>
  <si>
    <t xml:space="preserve">Agricultural and forestry effluents (e.g. excess fertilizers or pesticides) </t>
  </si>
  <si>
    <t xml:space="preserve">Garbage and solid waste </t>
  </si>
  <si>
    <t xml:space="preserve">Excess energy (e.g. heat pollution, lights etc) </t>
  </si>
  <si>
    <t xml:space="preserve">10. Geological events </t>
  </si>
  <si>
    <t xml:space="preserve">Volcanoes 
</t>
  </si>
  <si>
    <t>Geological events may be part of natural disturbance regimes in many ecosystems but they can be a threat if a species or habitat is damaged and has lost its resilience and is vulnerable to disturbance. Management capacity to respond to some of these changes may be limited.</t>
  </si>
  <si>
    <t xml:space="preserve">Earthquakes/Tsunamis </t>
  </si>
  <si>
    <t xml:space="preserve">Avalanches/ Landslides </t>
  </si>
  <si>
    <t xml:space="preserve">Erosion and siltation/ deposition (e.g. shoreline or riverbed changes) </t>
  </si>
  <si>
    <t xml:space="preserve">11. Climate change and severe weather  </t>
  </si>
  <si>
    <t xml:space="preserve">1. Legal Status  </t>
  </si>
  <si>
    <t xml:space="preserve">Help for answering this question:
</t>
  </si>
  <si>
    <t>2. Protected area regulations</t>
  </si>
  <si>
    <t xml:space="preserve">There are no regulations for controlling land use and activities in the protected area </t>
  </si>
  <si>
    <t>Some regulations for controlling land use and activities in the protected area exist but there are major weaknesses</t>
  </si>
  <si>
    <t>Regulations for controlling land use and activities in the protected area exist but there are some weaknesses or gaps</t>
  </si>
  <si>
    <t>Regulations for controlling inappropriate land use and activities in the protected area exist and provide an excellent basis for management</t>
  </si>
  <si>
    <t>3. Law enforcement</t>
  </si>
  <si>
    <t xml:space="preserve">Can staff enforce protected area rules well enough? (Staff = those with responsibility for managing the site) 
</t>
  </si>
  <si>
    <t xml:space="preserve">The staff have no effective capacity / resources to enforce protected area legislation and regulations </t>
  </si>
  <si>
    <t xml:space="preserve">The staff have acceptable capacity / resources to enforce protected area legislation and regulations but some deficiencies remain </t>
  </si>
  <si>
    <t xml:space="preserve">The staff have excellent capacity / resources to enforce protected area legislation and regulations </t>
  </si>
  <si>
    <t>4. Protected area objectives</t>
  </si>
  <si>
    <t xml:space="preserve">Is management undertaken according to agreed objectives?
</t>
  </si>
  <si>
    <t xml:space="preserve">No firm objectives have been agreed for the protected area </t>
  </si>
  <si>
    <t>The protected area has agreed objectives, but is not managed according to these objectives</t>
  </si>
  <si>
    <t>The protected area has agreed objectives, but is only partially managed according to these objectives</t>
  </si>
  <si>
    <t>The protected area has agreed objectives and is managed to meet these objectives</t>
  </si>
  <si>
    <t>5. Protected area design</t>
  </si>
  <si>
    <t>Inadequacies in protected area design mean that achievement of major objectives is difficult but some mitigating actions are being taken (e.g. agreements with adjacent land owners for wildlife corridors or introduction of appropriate catchment management)</t>
  </si>
  <si>
    <t>Protected area design is not significantly constraining achievement of objectives, but could be improved (e.g. with respect to larger scale ecological processes)</t>
  </si>
  <si>
    <t>Protected area design helps achievement of objectives; it is appropriate for species and habitat conservation; and maintains ecological processes such as surface and groundwater flows at a catchment scale, natural disturbance patterns etc</t>
  </si>
  <si>
    <t>6. Protected area boundary demarcation</t>
  </si>
  <si>
    <r>
      <t xml:space="preserve">Help for answering this question:
</t>
    </r>
    <r>
      <rPr>
        <sz val="12"/>
        <color theme="1"/>
        <rFont val="Calibri"/>
        <family val="2"/>
        <scheme val="minor"/>
      </rPr>
      <t>It is important that staff, stakeholders and rightsholders recognise the boundary and that people know if they are encroaching the protected area. Note that a few boundaries will by their nature be unstable: if the boundary is a river bank or a shoreline the precise location can change quite markedly over time. Such changes may become stronger under climate change: for example the coastline may retreat inland.</t>
    </r>
    <r>
      <rPr>
        <b/>
        <sz val="12"/>
        <color theme="1"/>
        <rFont val="Calibri"/>
        <family val="2"/>
        <scheme val="minor"/>
      </rPr>
      <t xml:space="preserve"> </t>
    </r>
    <r>
      <rPr>
        <sz val="12"/>
        <color theme="1"/>
        <rFont val="Calibri"/>
        <family val="2"/>
        <scheme val="minor"/>
      </rPr>
      <t>Is appropriately referring to the natural boundary? Comment: landmaps are used to create the PA boundary (sometimes GPS). In these instances the boundary on the ground is different from the boundary in the gazettment document). Appropriately needs to be interpreted according to the local context.</t>
    </r>
  </si>
  <si>
    <t xml:space="preserve">The boundary of the protected area is not known by the management authority or local residents /neighbouring land users </t>
  </si>
  <si>
    <t xml:space="preserve">The boundary of the protected area is known by the management authority but is not known by local residents / neighbouring land users </t>
  </si>
  <si>
    <t xml:space="preserve">The boundary of the protected area is known by both the management authority and local residents / neighbouring land users but is not appropriately demarcated </t>
  </si>
  <si>
    <t xml:space="preserve">The boundary of the protected area is known by the management authority and local residents / neighbouring land users and is appropriately demarcated </t>
  </si>
  <si>
    <t xml:space="preserve">7. Management plan </t>
  </si>
  <si>
    <t xml:space="preserve">Is there a management plan and is it being implemented?
</t>
  </si>
  <si>
    <t>There is no management plan for the protected area</t>
  </si>
  <si>
    <t>A management plan is being prepared or has been prepared but is not being implemented</t>
  </si>
  <si>
    <t>A management plan exists but it is only being partially implemented because of funding constraints or other problems</t>
  </si>
  <si>
    <t>A management plan exists and is being implemented</t>
  </si>
  <si>
    <r>
      <t xml:space="preserve">Additional points: </t>
    </r>
    <r>
      <rPr>
        <b/>
        <i/>
        <sz val="12"/>
        <color rgb="FF0070C0"/>
        <rFont val="Calibri"/>
        <family val="2"/>
        <scheme val="minor"/>
      </rPr>
      <t>Planning process</t>
    </r>
  </si>
  <si>
    <t xml:space="preserve">7a) The planning process allows adequate opportunity for key stakeholders to influence the management plan </t>
  </si>
  <si>
    <t xml:space="preserve">7b) There is an established schedule and process for periodic review and updating of the management plan </t>
  </si>
  <si>
    <t xml:space="preserve">7c) The results of monitoring, research and evaluation are routinely incorporated into planning </t>
  </si>
  <si>
    <t xml:space="preserve">8. Regular work plan </t>
  </si>
  <si>
    <r>
      <t xml:space="preserve">Your Score 
</t>
    </r>
    <r>
      <rPr>
        <sz val="11"/>
        <color theme="1"/>
        <rFont val="Calibri (Textkörper)"/>
      </rPr>
      <t>(put it in the grey field)</t>
    </r>
  </si>
  <si>
    <t xml:space="preserve">No regular work plan exists 
</t>
  </si>
  <si>
    <t>A regular work plan exists but few of the activities are implemented</t>
  </si>
  <si>
    <t>A regular work plan exists and many activities are implemented</t>
  </si>
  <si>
    <t>A regular work plan exists and all activities are implemented</t>
  </si>
  <si>
    <t xml:space="preserve">9. Resource inventory  </t>
  </si>
  <si>
    <t xml:space="preserve">Information on the critical habitats, species, ecological processes and cultural values of the protected area is not sufficient to support planning and decision making </t>
  </si>
  <si>
    <t xml:space="preserve">Information on the critical habitats, species, ecological processes and cultural values of the protected area is sufficient for most key areas of planning and decision making </t>
  </si>
  <si>
    <t xml:space="preserve">Information on the critical habitats, species, ecological processes and cultural values  of the protected area is sufficient to support all areas of planning and decision making </t>
  </si>
  <si>
    <t xml:space="preserve">10. Protection systems  </t>
  </si>
  <si>
    <r>
      <t xml:space="preserve">Help for answering this question: </t>
    </r>
    <r>
      <rPr>
        <b/>
        <sz val="12"/>
        <color rgb="FFFF0000"/>
        <rFont val="Calibri"/>
        <family val="2"/>
        <scheme val="minor"/>
      </rPr>
      <t xml:space="preserve">
</t>
    </r>
  </si>
  <si>
    <t xml:space="preserve">Protection systems (patrols, permits etc) are ineffective in controlling access or resource use of the protected area </t>
  </si>
  <si>
    <t>Protection systems are only partially effective in controlling access or resource use of the protected area</t>
  </si>
  <si>
    <t>Protection systems are moderately effective in controlling access or resource use of the protected area</t>
  </si>
  <si>
    <t>Protection systems are largely or wholly effective in controlling access or resource use of the protected area</t>
  </si>
  <si>
    <t xml:space="preserve">11. Research  </t>
  </si>
  <si>
    <t>There is no survey or research work taking place in the protected area</t>
  </si>
  <si>
    <t xml:space="preserve">There is a small amount of survey and research work but it is not directed towards the needs of protected area management
</t>
  </si>
  <si>
    <t>There is a comprehensive, integrated programme of survey and research work, which is relevant to management needs</t>
  </si>
  <si>
    <t xml:space="preserve">12. Resource management  </t>
  </si>
  <si>
    <t>Very few of the requirements for active management of critical habitats, species, ecological processes, cultural values and sustainable resource production (where relevant) are being implemented</t>
  </si>
  <si>
    <t>Many of the requirements for active management of critical habitats, species, ecological processes, cultural values and sustainable resource production (where relevant) are being implemented but some key issues are not being addressed</t>
  </si>
  <si>
    <t>Requirements for active management of critical habitats, species, ecological processes, cultural values and sustainable resource production (where relevant) are being substantially or fully implemented</t>
  </si>
  <si>
    <t xml:space="preserve">13. Staff numbers  </t>
  </si>
  <si>
    <r>
      <t xml:space="preserve">Help for answering this question:
</t>
    </r>
    <r>
      <rPr>
        <sz val="12"/>
        <color theme="1"/>
        <rFont val="Calibri"/>
        <family val="2"/>
        <scheme val="minor"/>
      </rPr>
      <t>This assessment should address whether the PA has sufficient staff to effectively manage the site  not whether the staff has the full complement approved by the Management Agency. Include staff working in the PA even if supported by NGOs or other funding sources. Do not consider people working on their own projects in the PA but not integrated into the management system such as NGO staff working on their own NGO projects in the area.</t>
    </r>
    <r>
      <rPr>
        <sz val="12"/>
        <color rgb="FFFF0000"/>
        <rFont val="Calibri"/>
        <family val="2"/>
        <scheme val="minor"/>
      </rPr>
      <t xml:space="preserve"> </t>
    </r>
    <r>
      <rPr>
        <sz val="12"/>
        <color theme="1"/>
        <rFont val="Calibri"/>
        <family val="2"/>
        <scheme val="minor"/>
      </rPr>
      <t>Answering this question might be slightly more difficult for community-managed sites. Here, the issue will be more about having sufficient numbers of people involved for there to be capacity to manage rather than “employment” in a traditional sense. In some remote protected areas, with few pressures, there may be no permanent staff but rather one person will have oversight of several protected areas. In this case the answer would fall somewhere between the second and fourth of the answers.</t>
    </r>
    <r>
      <rPr>
        <b/>
        <sz val="12"/>
        <color theme="1"/>
        <rFont val="Calibri"/>
        <family val="2"/>
        <scheme val="minor"/>
      </rPr>
      <t xml:space="preserve"> </t>
    </r>
  </si>
  <si>
    <t>Staff numbers are inadequate for critical management activities</t>
  </si>
  <si>
    <t>Staff numbers are below optimum level for critical management activities</t>
  </si>
  <si>
    <t>Staff numbers are adequate for the management needs of the protected area</t>
  </si>
  <si>
    <t>14. Staff training</t>
  </si>
  <si>
    <t>Staff lack the skills needed for protected area management</t>
  </si>
  <si>
    <t>Staff training and skills are low relative to the needs of the protected area</t>
  </si>
  <si>
    <t>Staff training and skills are adequate, but could be further improved to fully achieve the objectives of management</t>
  </si>
  <si>
    <t>Staff training and skills are aligned with the management needs of the protected area</t>
  </si>
  <si>
    <t xml:space="preserve">15. Current budget </t>
  </si>
  <si>
    <t>There is no budget for management of the protected area</t>
  </si>
  <si>
    <t>The available budget is inadequate for basic management needs and presents a serious constraint to the capacity to manage</t>
  </si>
  <si>
    <t>The available budget is acceptable but could be further improved to fully achieve effective management</t>
  </si>
  <si>
    <t>The available budget is sufficient and meets the full management needs of the protected area</t>
  </si>
  <si>
    <t xml:space="preserve">16. Security of budget </t>
  </si>
  <si>
    <t xml:space="preserve">There is a secure budget for the protected area and its management needs </t>
  </si>
  <si>
    <t xml:space="preserve">17. Management of budget  </t>
  </si>
  <si>
    <t>Budget management is very poor and significantly undermines effectiveness (e.g. late release of budget in financial year)</t>
  </si>
  <si>
    <t>Budget management is poor and constrains effectiveness</t>
  </si>
  <si>
    <t>Budget management is adequate but could be improved</t>
  </si>
  <si>
    <t>Budget management is excellent and meets management needs</t>
  </si>
  <si>
    <t xml:space="preserve">18. Equipment and facilities  </t>
  </si>
  <si>
    <t>There are little or no equipment and facilities for management needs</t>
  </si>
  <si>
    <t>There are some equipment and facilities but these are inadequate for most management needs</t>
  </si>
  <si>
    <t>There are equipment and facilities, but still some gaps that constrain management</t>
  </si>
  <si>
    <t xml:space="preserve">There are adequate equipment and facilities </t>
  </si>
  <si>
    <t xml:space="preserve">19. Maintenance of equipment and facilities  </t>
  </si>
  <si>
    <t>There is little or no maintenance of equipment and facilities</t>
  </si>
  <si>
    <t>There is some ad hoc maintenance of equipment and facilities</t>
  </si>
  <si>
    <t xml:space="preserve">There is basic maintenance of equipment and facilities 
</t>
  </si>
  <si>
    <t>Equipment and facilities are well maintained</t>
  </si>
  <si>
    <t xml:space="preserve">20. Education and awareness </t>
  </si>
  <si>
    <t>There is no education and awareness programme</t>
  </si>
  <si>
    <t>There is a limited and ad hoc education and awareness programme</t>
  </si>
  <si>
    <t>There is an education and awareness programme but it only partly meets needs and could be improved</t>
  </si>
  <si>
    <t xml:space="preserve">There is an appropriate and fully implemented education and awareness programme </t>
  </si>
  <si>
    <t xml:space="preserve">21. Planning for land and water use </t>
  </si>
  <si>
    <t xml:space="preserve">Adjacent land and water use planning does not take into account the needs of the protected area and activities / policies are detrimental to the survival of the area </t>
  </si>
  <si>
    <t>Adjacent land and water use planning does not take into account the long term needs of the protected area, but activities are not detrimental to the area</t>
  </si>
  <si>
    <t>Adjacent land and water use planning partially takes into account the long term needs of the protected area</t>
  </si>
  <si>
    <t>Adjacent land and water use planning fully takes into account the long term needs of the protected area</t>
  </si>
  <si>
    <t>Additional points on 21. Planning for land and water use</t>
  </si>
  <si>
    <t>21a (Land and water planning for habitat conservation): Planning and management in the catchment or landscape containing the protected area incorporates provision for adequate environmental conditions (e.g. volume, quality and timing of water flow, air pollution levels etc) to sustain relevant habitats</t>
  </si>
  <si>
    <t>21b (Land and water planning for connectivity): Management of corridors linking the protected area provides for wildlife passage to key habitats outside the protected area (e.g. to allow migratory fish to travel between freshwater spawning sites and the sea, or to allow animal migration</t>
  </si>
  <si>
    <t>21c (Land and water planning for ecosystem services &amp; species conservation): Planning addresses ecosystem-specific needs and / or the needs of particular species of concern at an ecosystem scale (e.g. volume, quality and timing of freshwater flow to sustain particular species, fire management to maintain savannah habitats etc.)</t>
  </si>
  <si>
    <t>22. State and commercial neighbours</t>
  </si>
  <si>
    <t>There is no contact between managers and neighbouring official or corporate land and water users</t>
  </si>
  <si>
    <t>There is contact between managers and neighbouring official or corporate land and water users but little or no cooperation</t>
  </si>
  <si>
    <t xml:space="preserve">There is contact between managers and neighbouring official or corporate land and water users, but only some co-operation </t>
  </si>
  <si>
    <t>There is regular contact between managers and neighbouring official or corporate land and water users, and substantial co-operation on management</t>
  </si>
  <si>
    <t xml:space="preserve">23. Indigenous people </t>
  </si>
  <si>
    <t>Indigenous and traditional peoples have no input into decisions relating to the management of the protected area</t>
  </si>
  <si>
    <t>Indigenous and traditional peoples have some input into discussions relating to management but no direct role in management</t>
  </si>
  <si>
    <t>Indigenous and traditional peoples directly contribute to some relevant decisions relating to management but their involvement could be improved</t>
  </si>
  <si>
    <t>Indigenous and traditional peoples directly participate in all relevant decisions relating to management, e.g. co-management</t>
  </si>
  <si>
    <t xml:space="preserve">24. Local communities </t>
  </si>
  <si>
    <r>
      <t xml:space="preserve">Help for answering this question:
</t>
    </r>
    <r>
      <rPr>
        <sz val="12"/>
        <rFont val="Calibri"/>
        <family val="2"/>
        <scheme val="minor"/>
      </rPr>
      <t xml:space="preserve"> </t>
    </r>
  </si>
  <si>
    <t>Local communities have no input into decisions relating to the management of the protected area</t>
  </si>
  <si>
    <t>Local communities have some input into discussions relating to management but no direct role in management</t>
  </si>
  <si>
    <t>Local communities directly contribute to some relevant  decisions relating to management but their involvement could be improved</t>
  </si>
  <si>
    <t>Local communities directly participate in all relevant decisions relating to management, e.g. co-management</t>
  </si>
  <si>
    <t>24a) There is open communication and trust between local and / or indigenous people, stakeholders and protected area managers</t>
  </si>
  <si>
    <t>24b) Programmes to enhance community welfare, while conserving protected area resources, are being implemented</t>
  </si>
  <si>
    <t>24c) Local and / or indigenous people actively support the protected area</t>
  </si>
  <si>
    <t>25. Economic benefit</t>
  </si>
  <si>
    <t>The protected area does not deliver any economic benefits to local communities</t>
  </si>
  <si>
    <t xml:space="preserve">26. Monitoring and evaluation  </t>
  </si>
  <si>
    <r>
      <t xml:space="preserve">Help for answering this question: </t>
    </r>
    <r>
      <rPr>
        <sz val="12"/>
        <rFont val="Calibri"/>
        <family val="2"/>
        <scheme val="minor"/>
      </rPr>
      <t>This indicator addresses both monitoring the condition of key values and threats of the protected area and major activities of management of the protected area. Important aspects of the protected area and its management includes major values, threats as well as management activities such as species and habitat management, restoration and patrol and compliance activities.</t>
    </r>
    <r>
      <rPr>
        <b/>
        <sz val="12"/>
        <color theme="1"/>
        <rFont val="Calibri"/>
        <family val="2"/>
        <scheme val="minor"/>
      </rPr>
      <t xml:space="preserve">
</t>
    </r>
  </si>
  <si>
    <t>There is no monitoring and evaluation in the protected area</t>
  </si>
  <si>
    <t>There is some ad hoc monitoring and evaluation, but no overall strategy and / or no regular collection of results</t>
  </si>
  <si>
    <t>There is an agreed and implemented monitoring and evaluation system but results do not feed back into management</t>
  </si>
  <si>
    <t>A good monitoring and evaluation system exists, is well implemented and used in adaptive management</t>
  </si>
  <si>
    <t>There are no visitor facilities and services despite an identified need</t>
  </si>
  <si>
    <t xml:space="preserve">Visitor facilities and services are inappropriate for current levels of visitation </t>
  </si>
  <si>
    <t>Visitor facilities and services are adequate for current levels of visitation but could be improved</t>
  </si>
  <si>
    <t>Visitor facilities and services are excellent for current levels of visitation</t>
  </si>
  <si>
    <t xml:space="preserve">28. Commercial tourism operators  </t>
  </si>
  <si>
    <t>There is little or no contact between managers and tourism operators using the protected area</t>
  </si>
  <si>
    <t>There is contact between managers and tourism operators but this is largely confined to administrative or regulatory matters</t>
  </si>
  <si>
    <t>There is limited co-operation between managers and tourism operators to enhance visitor experiences and maintain protected area values</t>
  </si>
  <si>
    <t xml:space="preserve">There is good co-operation between managers and tourism operators to enhance visitor experiences and maintain protected area values </t>
  </si>
  <si>
    <t xml:space="preserve">29. Fees  </t>
  </si>
  <si>
    <t>Although fees are theoretically applied, they are not collected</t>
  </si>
  <si>
    <t>Fees are collected, and make some contribution to the protected area and its environs</t>
  </si>
  <si>
    <t>Fees are collected and make a substantial contribution to the protected area and its environs</t>
  </si>
  <si>
    <t>30: Condition of values</t>
  </si>
  <si>
    <t xml:space="preserve">What is the condition of the important values of the PA as compared to when it was first designated?  </t>
  </si>
  <si>
    <t xml:space="preserve">Many important biodiversity, ecological or cultural values are being severely degraded   </t>
  </si>
  <si>
    <t xml:space="preserve">Some biodiversity, ecological or cultural values are being severely degraded </t>
  </si>
  <si>
    <t xml:space="preserve">Some biodiversity, ecological and cultural values are being partially degraded but the most important values have not been significantly impacted  </t>
  </si>
  <si>
    <t xml:space="preserve">Biodiversity, ecological and cultural values are predominantly intact </t>
  </si>
  <si>
    <t>Additional points on 30. Condition of values</t>
  </si>
  <si>
    <r>
      <t xml:space="preserve">Additional points: </t>
    </r>
    <r>
      <rPr>
        <b/>
        <i/>
        <sz val="12"/>
        <color rgb="FF0070C0"/>
        <rFont val="Calibri"/>
        <family val="2"/>
        <scheme val="minor"/>
      </rPr>
      <t>Condition of values</t>
    </r>
    <r>
      <rPr>
        <b/>
        <sz val="12"/>
        <color rgb="FF0070C0"/>
        <rFont val="Calibri"/>
        <family val="2"/>
        <scheme val="minor"/>
      </rPr>
      <t xml:space="preserve"> </t>
    </r>
  </si>
  <si>
    <t>30a) The assessment of the condition of values is based on research and/or monitoring</t>
  </si>
  <si>
    <t>30b) Specific management programmes are being implemented to address threats to biodiversity, ecological and cultural values</t>
  </si>
  <si>
    <t>30c) Activities to maintain key biodiversity, ecological and cultural values are a routine part of protected area management</t>
  </si>
  <si>
    <t>METT: Summary of Best Practice for Implementation</t>
  </si>
  <si>
    <t>Advanced METT</t>
  </si>
  <si>
    <t>Whereas the original METT contains 30 questions, the Advanced METT that is the foundation of this Excel Tool has additional questions that have been added to strengthen the usefulness of the tool and look at threats to values, climate change adaptation and conservation status of key indicator species and habitats. It was developed by KfW and is shared with their permission. It has been further modified in an IUCN workshop in December 2018. Contacts: Sue Stolton, Nigel Dudley and Marc Hockings</t>
  </si>
  <si>
    <r>
      <t xml:space="preserve">NOTE:
</t>
    </r>
    <r>
      <rPr>
        <sz val="12"/>
        <color theme="1"/>
        <rFont val="Calibri (Textkörper)"/>
      </rPr>
      <t>- This Excel tool is based on the Advanced METT developed for KfW 
-  Below is a list of all questions in the Advanced METT
-  Note that the questions that have been added to the Advanced version of the METT are not numbered to ensure that the original structure of the METT is kept
-  When you click on a question, you will be taken directly to the sheet that contains the respective question. At the top of each sheet there is a "Back" link. When clicking on it, you will be taken back to this overview page
-  Each sheet contains some guidance to help you answer the respective question. For questions (on threats, status of values and condition of key indicator species and habitats), there is an additional "Help" sheet with further guidance for you
-  The column "Your Advanced METT score" will be automatically completed as you go through the Advanced METT questions and score them. This will only happen though if you do not change or delete the formulas in the various cells below.
-  If some questions are not relevant to your protected area, tick the box at the top of the worksheet. The maximum METT score on the Advanced METT questions and scores will be automatically adjusted to reflect that this question is not relevant. However, please note down on the respective sheets why the questions are not relevant, so later assessors can understand why
-  Where available, add the METT scores from the last assessment to the column "Your METT score from last assessment". This way you can more easily identify potential trends or inconsistencies in scoring
-  The table "Advanced METT scores per management element" will also be completed automatically
-  The spiderweb graph shows the percentage of maximum scores in orange and your percentage scores in blue</t>
    </r>
  </si>
  <si>
    <t>Staff security</t>
  </si>
  <si>
    <t>Does the PA have legal status (or in the case of other conserved areas established and managed in accordance with established rules and agreements such as a covenant over private reserves)?</t>
  </si>
  <si>
    <t>The protected area or conserved area is not gazetted /covenanted</t>
  </si>
  <si>
    <t>There is agreement that the protected area or conserved area should be gazetted/covenanted but the process has not yet begun</t>
  </si>
  <si>
    <t xml:space="preserve">The protected area or conserved area is in the process of being gazetted/covenanted but the process is still incomplete (includes sites designated under international conventions, such as Ramsar, or local/traditional law such as community conserved areas, which do not yet have national legal status </t>
  </si>
  <si>
    <t>The protected area or conserved area has been formally gazetted/covenanted</t>
  </si>
  <si>
    <t>Are appropriate regulations in place to control land use and activities (such as hunting, NTFP, loggging, mining, fishing)?</t>
  </si>
  <si>
    <r>
      <t>There are major deficiencies in staff capacity / resources to enforce protected area legislation and regulations (e.g. lack of skills, no patrol budget, lack of institutional support</t>
    </r>
    <r>
      <rPr>
        <sz val="11"/>
        <rFont val="Calibri"/>
        <family val="2"/>
        <scheme val="minor"/>
      </rPr>
      <t>, insecurity</t>
    </r>
    <r>
      <rPr>
        <sz val="11"/>
        <color theme="1"/>
        <rFont val="Calibri"/>
        <family val="2"/>
        <scheme val="minor"/>
      </rPr>
      <t xml:space="preserve">) </t>
    </r>
  </si>
  <si>
    <r>
      <t>There is little or no information available on the critical habitats, species</t>
    </r>
    <r>
      <rPr>
        <sz val="12"/>
        <rFont val="Calibri"/>
        <family val="2"/>
        <scheme val="minor"/>
      </rPr>
      <t xml:space="preserve">, ecological processes </t>
    </r>
    <r>
      <rPr>
        <sz val="12"/>
        <color theme="1"/>
        <rFont val="Calibri"/>
        <family val="2"/>
        <scheme val="minor"/>
      </rPr>
      <t xml:space="preserve">and cultural values of the protected area </t>
    </r>
  </si>
  <si>
    <r>
      <t>There is considerable survey and research work but it is</t>
    </r>
    <r>
      <rPr>
        <sz val="12"/>
        <rFont val="Calibri"/>
        <family val="2"/>
        <scheme val="minor"/>
      </rPr>
      <t xml:space="preserve"> only partially</t>
    </r>
    <r>
      <rPr>
        <sz val="12"/>
        <color theme="1"/>
        <rFont val="Calibri"/>
        <family val="2"/>
        <scheme val="minor"/>
      </rPr>
      <t xml:space="preserve"> directed towards the needs of protected area management</t>
    </r>
  </si>
  <si>
    <r>
      <t>Active resource management is not being undertaken</t>
    </r>
    <r>
      <rPr>
        <sz val="12"/>
        <rFont val="Calibri"/>
        <family val="2"/>
        <scheme val="minor"/>
      </rPr>
      <t xml:space="preserve"> but is needed</t>
    </r>
  </si>
  <si>
    <r>
      <t>There are no staff</t>
    </r>
    <r>
      <rPr>
        <sz val="12"/>
        <rFont val="Calibri"/>
        <family val="2"/>
        <scheme val="minor"/>
      </rPr>
      <t xml:space="preserve"> but staff are required</t>
    </r>
  </si>
  <si>
    <r>
      <t>There is very little secure budget and the protected area could not function adequately without outside</t>
    </r>
    <r>
      <rPr>
        <sz val="12"/>
        <color rgb="FFFF0000"/>
        <rFont val="Calibri"/>
        <family val="2"/>
        <scheme val="minor"/>
      </rPr>
      <t xml:space="preserve"> </t>
    </r>
    <r>
      <rPr>
        <sz val="12"/>
        <color theme="1"/>
        <rFont val="Calibri"/>
        <family val="2"/>
        <scheme val="minor"/>
      </rPr>
      <t xml:space="preserve">funding </t>
    </r>
  </si>
  <si>
    <t xml:space="preserve">There is no secure budget for the protected area and management is wholly reliant on outside or highly variable funding  </t>
  </si>
  <si>
    <t>There is a reasonably secure core budget for regular operation of the protected area but many innovations and initiatives are reliant on outside funding</t>
  </si>
  <si>
    <t>Are equipment and facilities adequately maintained?</t>
  </si>
  <si>
    <t>Is there a planned education and awareness programme linked to the objectives and needs?</t>
  </si>
  <si>
    <t>Do indigenous and traditional peoples resident in or regularly using the protected area have input into management decisions?</t>
  </si>
  <si>
    <r>
      <t xml:space="preserve">Additional points on 24. Local communities </t>
    </r>
    <r>
      <rPr>
        <b/>
        <sz val="16"/>
        <rFont val="Calibri"/>
        <family val="2"/>
        <scheme val="minor"/>
      </rPr>
      <t xml:space="preserve">and indigenous people </t>
    </r>
  </si>
  <si>
    <r>
      <t>Potential</t>
    </r>
    <r>
      <rPr>
        <sz val="12"/>
        <color rgb="FFFF0000"/>
        <rFont val="Calibri"/>
        <family val="2"/>
        <scheme val="minor"/>
      </rPr>
      <t xml:space="preserve"> </t>
    </r>
    <r>
      <rPr>
        <sz val="12"/>
        <color theme="1"/>
        <rFont val="Calibri"/>
        <family val="2"/>
        <scheme val="minor"/>
      </rPr>
      <t>economic  benefits are recognised and plans to realise these are being developed</t>
    </r>
  </si>
  <si>
    <r>
      <t xml:space="preserve">There is some flow of </t>
    </r>
    <r>
      <rPr>
        <sz val="12"/>
        <color rgb="FFFF0000"/>
        <rFont val="Calibri"/>
        <family val="2"/>
        <scheme val="minor"/>
      </rPr>
      <t xml:space="preserve"> </t>
    </r>
    <r>
      <rPr>
        <sz val="12"/>
        <color theme="1"/>
        <rFont val="Calibri"/>
        <family val="2"/>
        <scheme val="minor"/>
      </rPr>
      <t>economic benefits to local communities</t>
    </r>
  </si>
  <si>
    <r>
      <t>There is a major flow of</t>
    </r>
    <r>
      <rPr>
        <sz val="12"/>
        <color rgb="FFFF0000"/>
        <rFont val="Calibri"/>
        <family val="2"/>
        <scheme val="minor"/>
      </rPr>
      <t xml:space="preserve"> </t>
    </r>
    <r>
      <rPr>
        <sz val="12"/>
        <color theme="1"/>
        <rFont val="Calibri"/>
        <family val="2"/>
        <scheme val="minor"/>
      </rPr>
      <t>economic benefits to local communities from activities associated with the protected area</t>
    </r>
  </si>
  <si>
    <t xml:space="preserve">27. Visitor facilities and services </t>
  </si>
  <si>
    <t>Are visitor facilities and services adequate?</t>
  </si>
  <si>
    <r>
      <t xml:space="preserve">Help for answering this question: </t>
    </r>
    <r>
      <rPr>
        <sz val="12"/>
        <rFont val="Calibri"/>
        <family val="2"/>
        <scheme val="minor"/>
      </rPr>
      <t xml:space="preserve">
Not all protected areas should or do collect fees. In these cases, this question is not applicable. 
Where fees are an expected part of the protected area management, this question is relevant and wants to find out whether the fees are used to help management or simply disappear into the government and provide no support for the protected area.</t>
    </r>
  </si>
  <si>
    <r>
      <t>Fees are collected, but make</t>
    </r>
    <r>
      <rPr>
        <sz val="12"/>
        <color rgb="FFFF0000"/>
        <rFont val="Calibri"/>
        <family val="2"/>
        <scheme val="minor"/>
      </rPr>
      <t xml:space="preserve"> </t>
    </r>
    <r>
      <rPr>
        <sz val="12"/>
        <rFont val="Calibri"/>
        <family val="2"/>
        <scheme val="minor"/>
      </rPr>
      <t xml:space="preserve">no </t>
    </r>
    <r>
      <rPr>
        <sz val="12"/>
        <color theme="1"/>
        <rFont val="Calibri"/>
        <family val="2"/>
        <scheme val="minor"/>
      </rPr>
      <t>contribution to the protected area or its environs</t>
    </r>
  </si>
  <si>
    <t>35. Conservation status of key indicator species</t>
  </si>
  <si>
    <r>
      <t xml:space="preserve">NOTE:
</t>
    </r>
    <r>
      <rPr>
        <sz val="12"/>
        <color theme="1"/>
        <rFont val="Calibri (Textkörper)"/>
      </rPr>
      <t>-  Once you have completed the Advanced METT, the table below will show what you have captured as "Ways forward" to improve or maintain your Advanced METT scores (where the table now says "Add text here")
-  The table can serve as a workplan for you and will make it easier to follow-up on the results of the Advanced METT assessment
-  You may use the columns D to H to provide details on how the "Ways forward" should be implemented</t>
    </r>
  </si>
  <si>
    <t>Annual and perennial non-timber crop cultivation</t>
  </si>
  <si>
    <t>Mining and quarrying</t>
  </si>
  <si>
    <r>
      <t xml:space="preserve">Deliberate vandalism, </t>
    </r>
    <r>
      <rPr>
        <sz val="10"/>
        <color rgb="FFFF0000"/>
        <rFont val="Calibri"/>
        <family val="2"/>
        <scheme val="minor"/>
      </rPr>
      <t xml:space="preserve"> </t>
    </r>
    <r>
      <rPr>
        <sz val="10"/>
        <color theme="1"/>
        <rFont val="Calibri"/>
        <family val="2"/>
        <scheme val="minor"/>
      </rPr>
      <t xml:space="preserve">destructive activities or threats to protected area staff and visitors </t>
    </r>
  </si>
  <si>
    <t>Air-borne pollutants</t>
  </si>
  <si>
    <t xml:space="preserve">Habitat shifting and alteration </t>
  </si>
  <si>
    <t xml:space="preserve">Loss of cultural links, traditional knowledge and/or management practices  </t>
  </si>
  <si>
    <r>
      <t xml:space="preserve">1. Remind participants of the major values of the protected area. A protected area, according to IUCN, </t>
    </r>
    <r>
      <rPr>
        <b/>
        <u/>
        <sz val="12"/>
        <color rgb="FF0070C0"/>
        <rFont val="Calibri"/>
        <family val="2"/>
        <scheme val="minor"/>
      </rPr>
      <t>should always identify major values for conservation of nature</t>
    </r>
    <r>
      <rPr>
        <b/>
        <sz val="12"/>
        <color rgb="FF0070C0"/>
        <rFont val="Calibri"/>
        <family val="2"/>
        <scheme val="minor"/>
      </rPr>
      <t xml:space="preserve">, and depending on the protected area management category and context, the associated cultural and ecosystem service values will also be identified and identified. </t>
    </r>
    <r>
      <rPr>
        <sz val="12"/>
        <color theme="1"/>
        <rFont val="Calibri (Textkörper)"/>
      </rPr>
      <t>(see table below. The values will be shown there if you named them on the sheet 'Protected area attributes')</t>
    </r>
  </si>
  <si>
    <t>NATURAL VALUES</t>
  </si>
  <si>
    <t>Major natural values should include nature or biodiversity values (e.g. threatened species, priority habitats or ecosystems); and also can include:</t>
  </si>
  <si>
    <t>Ecological processes</t>
  </si>
  <si>
    <t>Landscape and connectivity values</t>
  </si>
  <si>
    <t>Geological and geomorphological features</t>
  </si>
  <si>
    <t>Paleontological values</t>
  </si>
  <si>
    <t>Scenic values and outstanding natural beauty.</t>
  </si>
  <si>
    <t>For each assessment, provide a justification of the assessment.  For example, a wildlife population might be in very good condition because it is at carrying capacity or is equivalent to a reference level for a healthy ecosystem.</t>
  </si>
  <si>
    <t>Help for discussing the condition of the protected area's important natural values</t>
  </si>
  <si>
    <t>2. Next, ask participants to describe the condition of the major value.  For each site value rate the condition as very good, good, fair or poor, based on the collective expertise of the assessors and using the guide on scoring below</t>
  </si>
  <si>
    <t>Value 1</t>
  </si>
  <si>
    <t>Ecological Condition as Very good, Good, fair or poor</t>
  </si>
  <si>
    <t>Justificatiion</t>
  </si>
  <si>
    <t>Value 2</t>
  </si>
  <si>
    <t>in local currency</t>
  </si>
  <si>
    <t>Annually, in local currency</t>
  </si>
  <si>
    <t xml:space="preserve">Format: DD/MM/YYYY.
For state protected areas: Usually the date of legal establishment. However, sometimes state-run protected areas operate for years before the legal process of establishment is completed. In this case list the date when the protected area was agreed by government. 
For sites where designation has changed over time (e.g. if a nature reserve has been changed to a national park) list both dates: first establishment of protected area and later change in national designation. 
For privately protected areas or community conserved areas: Usually the date of purchase or the date when an area of land or water was announced as a protected area. </t>
  </si>
  <si>
    <t>Advanced METT scores per question</t>
  </si>
  <si>
    <r>
      <t>Information sources: Which information (evidence) have you used to answer this question?</t>
    </r>
    <r>
      <rPr>
        <sz val="12"/>
        <color theme="1"/>
        <rFont val="Calibri (Textkörper)"/>
      </rPr>
      <t xml:space="preserve"> </t>
    </r>
    <r>
      <rPr>
        <sz val="10"/>
        <color theme="1"/>
        <rFont val="Calibri (Textkörper)"/>
      </rPr>
      <t>(Please tick relevant boxes and add details in column below)</t>
    </r>
  </si>
  <si>
    <t>Year of assessment</t>
  </si>
  <si>
    <t>The conservation status of habitats is undesirable and has worsened over the last 5 years</t>
  </si>
  <si>
    <t>The conservation status of habitats is undesirable and has remained unchanged over the last 5 years</t>
  </si>
  <si>
    <t>The conservation status of habitats is undesirable but has improved over the last 5 years</t>
  </si>
  <si>
    <t>The conservation status of habitats is desirable or has significantly improved over the last 5 years</t>
  </si>
  <si>
    <t>The conservation status of key indicator species is undesirable and has worsened over the last 5 years</t>
  </si>
  <si>
    <t>The conservation status of key indicator species is undesirable and has remained unchanged over the last 5 years</t>
  </si>
  <si>
    <t>The conservation status of key indicator species is undesirable but has improved over the last 5 years</t>
  </si>
  <si>
    <t>The conservation status of key indicator species is desirable or has significantly improved over the last 5 years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</si>
</sst>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2"/>
      <color rgb="FF0070C0"/>
      <name val="Calibri"/>
      <family val="2"/>
      <scheme val="minor"/>
    </font>
    <font>
      <b/>
      <sz val="16"/>
      <color theme="1"/>
      <name val="Calibri"/>
      <family val="2"/>
      <scheme val="minor"/>
    </font>
    <font>
      <b/>
      <i/>
      <sz val="12"/>
      <color rgb="FF0070C0"/>
      <name val="Calibri"/>
      <family val="2"/>
      <scheme val="minor"/>
    </font>
    <font>
      <sz val="12"/>
      <color theme="1"/>
      <name val="Calibri (Textkörper)"/>
    </font>
    <font>
      <sz val="12"/>
      <color rgb="FF000000"/>
      <name val="Calibri"/>
      <family val="2"/>
      <scheme val="minor"/>
    </font>
    <font>
      <sz val="12"/>
      <name val="Calibri"/>
      <family val="2"/>
      <scheme val="minor"/>
    </font>
    <font>
      <b/>
      <sz val="12"/>
      <color rgb="FF0070C0"/>
      <name val="Calibri (Textkörper)"/>
    </font>
    <font>
      <b/>
      <sz val="12"/>
      <color theme="4"/>
      <name val="Calibri"/>
      <family val="2"/>
      <scheme val="minor"/>
    </font>
    <font>
      <u/>
      <sz val="12"/>
      <color theme="10"/>
      <name val="Calibri"/>
      <family val="2"/>
      <scheme val="minor"/>
    </font>
    <font>
      <u/>
      <sz val="12"/>
      <color theme="11"/>
      <name val="Calibri"/>
      <family val="2"/>
      <scheme val="minor"/>
    </font>
    <font>
      <sz val="8"/>
      <name val="Calibri"/>
      <family val="2"/>
      <scheme val="minor"/>
    </font>
    <font>
      <i/>
      <sz val="12"/>
      <color theme="1"/>
      <name val="Calibri"/>
      <family val="2"/>
      <scheme val="minor"/>
    </font>
    <font>
      <i/>
      <sz val="12"/>
      <color theme="1"/>
      <name val="Calibri (Textkörper)"/>
    </font>
    <font>
      <b/>
      <sz val="11"/>
      <color theme="1"/>
      <name val="Calibri"/>
      <family val="2"/>
      <scheme val="minor"/>
    </font>
    <font>
      <b/>
      <sz val="10"/>
      <color rgb="FF0070C0"/>
      <name val="Calibri"/>
      <family val="2"/>
      <scheme val="minor"/>
    </font>
    <font>
      <sz val="10"/>
      <color theme="1"/>
      <name val="Calibri"/>
      <family val="2"/>
      <scheme val="minor"/>
    </font>
    <font>
      <b/>
      <sz val="12"/>
      <color rgb="FFFF0000"/>
      <name val="Calibri"/>
      <family val="2"/>
      <scheme val="minor"/>
    </font>
    <font>
      <sz val="9"/>
      <color theme="1"/>
      <name val="Calibri"/>
      <family val="2"/>
      <scheme val="minor"/>
    </font>
    <font>
      <sz val="8"/>
      <color theme="1"/>
      <name val="Calibri"/>
      <family val="2"/>
      <scheme val="minor"/>
    </font>
    <font>
      <sz val="12"/>
      <color rgb="FFFF0000"/>
      <name val="Calibri"/>
      <family val="2"/>
      <scheme val="minor"/>
    </font>
    <font>
      <sz val="10"/>
      <color rgb="FFFF0000"/>
      <name val="Calibri"/>
      <family val="2"/>
      <scheme val="minor"/>
    </font>
    <font>
      <sz val="8"/>
      <color rgb="FF000000"/>
      <name val="Segoe UI"/>
      <family val="2"/>
    </font>
    <font>
      <sz val="16"/>
      <name val="Calibri"/>
      <family val="2"/>
      <scheme val="minor"/>
    </font>
    <font>
      <b/>
      <sz val="12"/>
      <name val="Calibri"/>
      <family val="2"/>
      <scheme val="minor"/>
    </font>
    <font>
      <sz val="11"/>
      <color theme="1"/>
      <name val="Calibri (Textkörper)"/>
    </font>
    <font>
      <sz val="10"/>
      <color theme="1"/>
      <name val="Calibri (Textkörper)"/>
    </font>
    <font>
      <sz val="11"/>
      <name val="Calibri"/>
      <family val="2"/>
      <scheme val="minor"/>
    </font>
    <font>
      <b/>
      <sz val="16"/>
      <name val="Calibri"/>
      <family val="2"/>
      <scheme val="minor"/>
    </font>
    <font>
      <b/>
      <u/>
      <sz val="12"/>
      <color rgb="FF0070C0"/>
      <name val="Calibri"/>
      <family val="2"/>
      <scheme val="minor"/>
    </font>
  </fonts>
  <fills count="3">
    <fill>
      <patternFill patternType="none"/>
    </fill>
    <fill>
      <patternFill patternType="gray125"/>
    </fill>
    <fill>
      <patternFill patternType="solid">
        <fgColor theme="0" tint="-0.14999847407452621"/>
        <bgColor indexed="64"/>
      </patternFill>
    </fill>
  </fills>
  <borders count="38">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auto="1"/>
      </right>
      <top style="thin">
        <color auto="1"/>
      </top>
      <bottom/>
      <diagonal/>
    </border>
    <border>
      <left style="thin">
        <color auto="1"/>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right style="medium">
        <color auto="1"/>
      </right>
      <top style="medium">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bottom style="thin">
        <color auto="1"/>
      </bottom>
      <diagonal/>
    </border>
    <border>
      <left/>
      <right style="thin">
        <color auto="1"/>
      </right>
      <top/>
      <bottom/>
      <diagonal/>
    </border>
  </borders>
  <cellStyleXfs count="14">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4" fillId="0" borderId="0"/>
  </cellStyleXfs>
  <cellXfs count="280">
    <xf numFmtId="0" fontId="0" fillId="0" borderId="0" xfId="0"/>
    <xf numFmtId="0" fontId="0" fillId="0" borderId="0" xfId="0" applyAlignment="1">
      <alignment wrapText="1"/>
    </xf>
    <xf numFmtId="0" fontId="6" fillId="0" borderId="1" xfId="0" applyFont="1" applyBorder="1" applyAlignment="1">
      <alignment wrapText="1"/>
    </xf>
    <xf numFmtId="0" fontId="6" fillId="0" borderId="0" xfId="0" applyFont="1" applyAlignment="1">
      <alignment wrapText="1"/>
    </xf>
    <xf numFmtId="0" fontId="6" fillId="0" borderId="1" xfId="0" applyFont="1" applyBorder="1" applyAlignment="1">
      <alignment horizontal="left" wrapText="1"/>
    </xf>
    <xf numFmtId="0" fontId="7" fillId="0" borderId="1" xfId="0" applyFont="1" applyBorder="1" applyAlignment="1">
      <alignment horizontal="left" wrapText="1"/>
    </xf>
    <xf numFmtId="0" fontId="0" fillId="0" borderId="0" xfId="0" applyAlignment="1">
      <alignment horizontal="left" wrapText="1"/>
    </xf>
    <xf numFmtId="0" fontId="0" fillId="0" borderId="1" xfId="0" applyBorder="1"/>
    <xf numFmtId="0" fontId="6" fillId="0" borderId="1" xfId="0" applyFont="1" applyBorder="1" applyAlignment="1">
      <alignment horizontal="right"/>
    </xf>
    <xf numFmtId="0" fontId="6" fillId="0" borderId="1" xfId="0" applyFont="1" applyBorder="1"/>
    <xf numFmtId="0" fontId="6" fillId="0" borderId="0" xfId="0" applyFont="1"/>
    <xf numFmtId="0" fontId="0" fillId="0" borderId="1" xfId="0" applyBorder="1" applyAlignment="1">
      <alignment horizontal="right"/>
    </xf>
    <xf numFmtId="0" fontId="0" fillId="0" borderId="1" xfId="0" applyBorder="1" applyAlignment="1">
      <alignment wrapText="1"/>
    </xf>
    <xf numFmtId="0" fontId="0" fillId="0" borderId="0" xfId="0" applyAlignment="1">
      <alignment horizontal="right"/>
    </xf>
    <xf numFmtId="0" fontId="0" fillId="0" borderId="1" xfId="0" applyBorder="1" applyAlignment="1">
      <alignment horizontal="left" wrapText="1"/>
    </xf>
    <xf numFmtId="0" fontId="0" fillId="0" borderId="1" xfId="0" applyBorder="1" applyAlignment="1">
      <alignment horizontal="left"/>
    </xf>
    <xf numFmtId="0" fontId="8" fillId="0" borderId="0" xfId="0" applyFont="1" applyAlignment="1">
      <alignment horizontal="left"/>
    </xf>
    <xf numFmtId="0" fontId="6" fillId="0" borderId="1" xfId="0" applyFont="1" applyBorder="1" applyAlignment="1">
      <alignment horizontal="left"/>
    </xf>
    <xf numFmtId="0" fontId="7" fillId="0" borderId="1" xfId="0" applyFont="1" applyBorder="1" applyAlignment="1">
      <alignment horizontal="left"/>
    </xf>
    <xf numFmtId="10" fontId="0" fillId="0" borderId="1" xfId="0" applyNumberFormat="1" applyBorder="1"/>
    <xf numFmtId="0" fontId="0" fillId="0" borderId="0" xfId="0" applyAlignment="1">
      <alignment horizontal="left" vertical="top"/>
    </xf>
    <xf numFmtId="0" fontId="6" fillId="0" borderId="1" xfId="0" applyFont="1" applyBorder="1" applyAlignment="1">
      <alignment horizontal="left" vertical="top" wrapText="1" readingOrder="1"/>
    </xf>
    <xf numFmtId="0" fontId="11" fillId="0" borderId="1" xfId="0" applyFont="1" applyBorder="1" applyAlignment="1">
      <alignment horizontal="left" vertical="top" wrapText="1"/>
    </xf>
    <xf numFmtId="49" fontId="0" fillId="0" borderId="1" xfId="0" applyNumberFormat="1" applyBorder="1" applyAlignment="1">
      <alignment horizontal="left" vertical="top"/>
    </xf>
    <xf numFmtId="0" fontId="0" fillId="0" borderId="1" xfId="0" applyBorder="1" applyAlignment="1">
      <alignment horizontal="left" vertical="top" wrapText="1"/>
    </xf>
    <xf numFmtId="0" fontId="12" fillId="0" borderId="1" xfId="0" applyFont="1" applyBorder="1" applyAlignment="1">
      <alignment horizontal="left" vertical="top" wrapText="1"/>
    </xf>
    <xf numFmtId="0" fontId="0" fillId="0" borderId="1" xfId="0" applyBorder="1" applyAlignment="1">
      <alignment horizontal="left" vertical="top"/>
    </xf>
    <xf numFmtId="0" fontId="0" fillId="0" borderId="0" xfId="0" applyAlignment="1">
      <alignment horizontal="right" vertical="top"/>
    </xf>
    <xf numFmtId="0" fontId="6" fillId="0" borderId="1" xfId="0" applyFont="1" applyBorder="1" applyAlignment="1">
      <alignment horizontal="right" vertical="top" wrapText="1" readingOrder="1"/>
    </xf>
    <xf numFmtId="0" fontId="0" fillId="0" borderId="1" xfId="0" applyBorder="1" applyAlignment="1">
      <alignment horizontal="right" vertical="top" wrapText="1"/>
    </xf>
    <xf numFmtId="49" fontId="0" fillId="0" borderId="1" xfId="0" applyNumberFormat="1" applyBorder="1" applyAlignment="1">
      <alignment horizontal="right" vertical="top" wrapText="1"/>
    </xf>
    <xf numFmtId="0" fontId="6" fillId="0" borderId="1" xfId="0" applyFont="1" applyBorder="1" applyAlignment="1">
      <alignment horizontal="center" vertical="top" wrapText="1" readingOrder="1"/>
    </xf>
    <xf numFmtId="0" fontId="0" fillId="0" borderId="3" xfId="0" applyBorder="1" applyAlignment="1">
      <alignment horizontal="right" vertical="top"/>
    </xf>
    <xf numFmtId="0" fontId="0" fillId="0" borderId="6" xfId="0" applyBorder="1" applyAlignment="1">
      <alignment horizontal="right" vertical="top"/>
    </xf>
    <xf numFmtId="0" fontId="0" fillId="0" borderId="4" xfId="0" applyBorder="1" applyAlignment="1">
      <alignment horizontal="right" vertical="top"/>
    </xf>
    <xf numFmtId="0" fontId="0" fillId="0" borderId="6" xfId="0" applyBorder="1" applyAlignment="1">
      <alignment horizontal="left" vertical="top"/>
    </xf>
    <xf numFmtId="0" fontId="0" fillId="0" borderId="4" xfId="0" applyBorder="1" applyAlignment="1">
      <alignment horizontal="left" vertical="top"/>
    </xf>
    <xf numFmtId="0" fontId="7" fillId="0" borderId="3" xfId="0" applyFont="1" applyBorder="1" applyAlignment="1">
      <alignment horizontal="right" vertical="top" wrapText="1"/>
    </xf>
    <xf numFmtId="0" fontId="7" fillId="0" borderId="1" xfId="0" applyFont="1" applyBorder="1" applyAlignment="1">
      <alignment horizontal="right" vertical="top" wrapText="1"/>
    </xf>
    <xf numFmtId="49" fontId="0" fillId="0" borderId="4" xfId="0" applyNumberFormat="1" applyBorder="1" applyAlignment="1">
      <alignment horizontal="left" vertical="top" wrapText="1"/>
    </xf>
    <xf numFmtId="49" fontId="0" fillId="0" borderId="6" xfId="0" applyNumberFormat="1" applyBorder="1" applyAlignment="1">
      <alignment horizontal="left" vertical="top" wrapText="1"/>
    </xf>
    <xf numFmtId="0" fontId="0" fillId="0" borderId="3" xfId="0" applyBorder="1" applyAlignment="1">
      <alignment horizontal="left" vertical="top" wrapText="1"/>
    </xf>
    <xf numFmtId="0" fontId="12" fillId="0" borderId="3" xfId="0" applyFont="1" applyBorder="1" applyAlignment="1">
      <alignment horizontal="right" vertical="top" wrapText="1"/>
    </xf>
    <xf numFmtId="0" fontId="7" fillId="0" borderId="5" xfId="0" applyFont="1" applyBorder="1" applyAlignment="1">
      <alignment horizontal="right" vertical="top" wrapText="1"/>
    </xf>
    <xf numFmtId="0" fontId="0" fillId="0" borderId="0" xfId="0" applyAlignment="1">
      <alignment horizontal="right" vertical="top" wrapText="1"/>
    </xf>
    <xf numFmtId="0" fontId="0" fillId="0" borderId="4" xfId="0" applyBorder="1" applyAlignment="1">
      <alignment horizontal="left" vertical="top" wrapText="1"/>
    </xf>
    <xf numFmtId="49" fontId="0" fillId="0" borderId="3" xfId="0" applyNumberFormat="1" applyBorder="1" applyAlignment="1">
      <alignment horizontal="left" vertical="top" wrapText="1"/>
    </xf>
    <xf numFmtId="0" fontId="0" fillId="0" borderId="4" xfId="0" applyBorder="1" applyAlignment="1">
      <alignment horizontal="right" vertical="top" wrapText="1"/>
    </xf>
    <xf numFmtId="49" fontId="0" fillId="0" borderId="3" xfId="0" applyNumberFormat="1" applyBorder="1" applyAlignment="1">
      <alignment horizontal="right" vertical="top" wrapText="1"/>
    </xf>
    <xf numFmtId="49" fontId="0" fillId="0" borderId="6" xfId="0" applyNumberFormat="1" applyBorder="1" applyAlignment="1">
      <alignment horizontal="right" vertical="top" wrapText="1"/>
    </xf>
    <xf numFmtId="0" fontId="0" fillId="0" borderId="3" xfId="0" applyBorder="1" applyAlignment="1">
      <alignment horizontal="right" vertical="top" wrapText="1"/>
    </xf>
    <xf numFmtId="0" fontId="8" fillId="0" borderId="0" xfId="0" applyFont="1"/>
    <xf numFmtId="0" fontId="7" fillId="0" borderId="0" xfId="0" applyFont="1"/>
    <xf numFmtId="0" fontId="0" fillId="0" borderId="13" xfId="0" applyBorder="1"/>
    <xf numFmtId="0" fontId="0" fillId="0" borderId="14" xfId="0" applyBorder="1"/>
    <xf numFmtId="0" fontId="0" fillId="0" borderId="19" xfId="0" applyBorder="1"/>
    <xf numFmtId="0" fontId="0" fillId="0" borderId="13" xfId="0" applyBorder="1" applyAlignment="1">
      <alignment horizontal="center"/>
    </xf>
    <xf numFmtId="0" fontId="0" fillId="0" borderId="1" xfId="0" applyBorder="1" applyAlignment="1">
      <alignment horizontal="center"/>
    </xf>
    <xf numFmtId="0" fontId="0" fillId="0" borderId="14" xfId="0" applyBorder="1" applyAlignment="1">
      <alignment horizontal="center"/>
    </xf>
    <xf numFmtId="0" fontId="18" fillId="0" borderId="1" xfId="0" applyFont="1" applyBorder="1" applyAlignment="1">
      <alignment horizontal="right"/>
    </xf>
    <xf numFmtId="0" fontId="7" fillId="0" borderId="21" xfId="0" applyFont="1" applyBorder="1" applyAlignment="1">
      <alignment vertical="top" wrapText="1"/>
    </xf>
    <xf numFmtId="0" fontId="7" fillId="0" borderId="22" xfId="0" applyFont="1" applyBorder="1" applyAlignment="1">
      <alignment vertical="top" wrapText="1"/>
    </xf>
    <xf numFmtId="0" fontId="7" fillId="0" borderId="9" xfId="0" applyFont="1" applyBorder="1" applyAlignment="1">
      <alignment vertical="top" wrapText="1"/>
    </xf>
    <xf numFmtId="0" fontId="15" fillId="0" borderId="1" xfId="3" applyBorder="1" applyAlignment="1">
      <alignment wrapText="1"/>
    </xf>
    <xf numFmtId="0" fontId="15" fillId="0" borderId="1" xfId="3" applyBorder="1" applyAlignment="1">
      <alignment horizontal="left" wrapText="1"/>
    </xf>
    <xf numFmtId="0" fontId="0" fillId="0" borderId="0" xfId="0" applyAlignment="1">
      <alignment vertical="center"/>
    </xf>
    <xf numFmtId="0" fontId="0" fillId="0" borderId="7" xfId="0" applyBorder="1" applyAlignment="1">
      <alignment horizontal="center"/>
    </xf>
    <xf numFmtId="0" fontId="0" fillId="0" borderId="7" xfId="0" applyBorder="1"/>
    <xf numFmtId="0" fontId="0" fillId="0" borderId="30" xfId="0" applyBorder="1"/>
    <xf numFmtId="0" fontId="0" fillId="0" borderId="31" xfId="0" applyBorder="1"/>
    <xf numFmtId="0" fontId="0" fillId="0" borderId="0" xfId="0" applyAlignment="1">
      <alignment vertical="top" wrapText="1"/>
    </xf>
    <xf numFmtId="0" fontId="19" fillId="0" borderId="0" xfId="0" applyFont="1" applyAlignment="1">
      <alignment vertical="top" wrapText="1"/>
    </xf>
    <xf numFmtId="0" fontId="0" fillId="0" borderId="1" xfId="0" applyBorder="1" applyAlignment="1">
      <alignment horizontal="center" wrapText="1"/>
    </xf>
    <xf numFmtId="0" fontId="0" fillId="0" borderId="0" xfId="0" applyAlignment="1">
      <alignment horizontal="center" wrapText="1"/>
    </xf>
    <xf numFmtId="0" fontId="7" fillId="0" borderId="0" xfId="0" applyFont="1" applyAlignment="1">
      <alignment horizontal="left" wrapText="1"/>
    </xf>
    <xf numFmtId="0" fontId="8" fillId="0" borderId="0" xfId="0" applyFont="1" applyAlignment="1">
      <alignment horizontal="left" wrapText="1"/>
    </xf>
    <xf numFmtId="0" fontId="0" fillId="0" borderId="2" xfId="0" applyBorder="1" applyAlignment="1">
      <alignment horizontal="center"/>
    </xf>
    <xf numFmtId="0" fontId="0" fillId="0" borderId="8" xfId="0" applyBorder="1"/>
    <xf numFmtId="0" fontId="7" fillId="0" borderId="1" xfId="0" applyFont="1" applyBorder="1" applyAlignment="1">
      <alignment horizontal="center" vertical="top" wrapText="1"/>
    </xf>
    <xf numFmtId="0" fontId="7" fillId="0" borderId="3" xfId="0" applyFont="1" applyBorder="1" applyAlignment="1">
      <alignment horizontal="center" wrapText="1"/>
    </xf>
    <xf numFmtId="0" fontId="0" fillId="2" borderId="1" xfId="0" applyFill="1" applyBorder="1" applyAlignment="1">
      <alignment wrapText="1"/>
    </xf>
    <xf numFmtId="0" fontId="6" fillId="2" borderId="1" xfId="0" applyFont="1" applyFill="1" applyBorder="1" applyAlignment="1">
      <alignment horizontal="left" vertical="top" wrapText="1"/>
    </xf>
    <xf numFmtId="0" fontId="7" fillId="0" borderId="0" xfId="0" applyFont="1" applyAlignment="1">
      <alignment wrapText="1"/>
    </xf>
    <xf numFmtId="0" fontId="7" fillId="0" borderId="1" xfId="0" applyFont="1" applyBorder="1" applyAlignment="1">
      <alignment vertical="top" wrapText="1"/>
    </xf>
    <xf numFmtId="0" fontId="7" fillId="0" borderId="0" xfId="0" applyFont="1" applyAlignment="1">
      <alignment vertical="top" wrapText="1"/>
    </xf>
    <xf numFmtId="0" fontId="8" fillId="0" borderId="0" xfId="0" applyFont="1" applyAlignment="1">
      <alignment wrapText="1"/>
    </xf>
    <xf numFmtId="0" fontId="6" fillId="0" borderId="0" xfId="0" applyFont="1" applyAlignment="1">
      <alignment horizontal="left" vertical="top" wrapText="1"/>
    </xf>
    <xf numFmtId="0" fontId="7" fillId="0" borderId="1" xfId="0" applyFont="1" applyBorder="1" applyAlignment="1">
      <alignment horizontal="left" vertical="top" wrapText="1"/>
    </xf>
    <xf numFmtId="0" fontId="14" fillId="0" borderId="0" xfId="0" applyFont="1" applyAlignment="1">
      <alignment horizontal="left" vertical="center" wrapText="1"/>
    </xf>
    <xf numFmtId="0" fontId="11" fillId="0" borderId="1" xfId="0" applyFont="1" applyBorder="1" applyAlignment="1">
      <alignment vertical="center" wrapText="1"/>
    </xf>
    <xf numFmtId="0" fontId="19" fillId="2" borderId="1" xfId="0" applyFont="1" applyFill="1" applyBorder="1" applyAlignment="1">
      <alignment vertical="top" wrapText="1"/>
    </xf>
    <xf numFmtId="0" fontId="0" fillId="2" borderId="1" xfId="0" applyFill="1" applyBorder="1"/>
    <xf numFmtId="0" fontId="0" fillId="2" borderId="19" xfId="0" applyFill="1" applyBorder="1"/>
    <xf numFmtId="0" fontId="0" fillId="2" borderId="13" xfId="0" applyFill="1" applyBorder="1"/>
    <xf numFmtId="0" fontId="0" fillId="2" borderId="14" xfId="0" applyFill="1" applyBorder="1"/>
    <xf numFmtId="0" fontId="0" fillId="2" borderId="8" xfId="0" applyFill="1" applyBorder="1"/>
    <xf numFmtId="0" fontId="0" fillId="2" borderId="15" xfId="0" applyFill="1" applyBorder="1"/>
    <xf numFmtId="0" fontId="0" fillId="2" borderId="16" xfId="0" applyFill="1" applyBorder="1"/>
    <xf numFmtId="0" fontId="0" fillId="2" borderId="17" xfId="0" applyFill="1" applyBorder="1"/>
    <xf numFmtId="0" fontId="0" fillId="2" borderId="33" xfId="0" applyFill="1" applyBorder="1"/>
    <xf numFmtId="0" fontId="0" fillId="2" borderId="20" xfId="0" applyFill="1" applyBorder="1"/>
    <xf numFmtId="0" fontId="11" fillId="2" borderId="1" xfId="0" applyFont="1" applyFill="1" applyBorder="1" applyAlignment="1">
      <alignment vertical="center" wrapText="1"/>
    </xf>
    <xf numFmtId="0" fontId="0" fillId="2" borderId="7" xfId="0" applyFill="1" applyBorder="1"/>
    <xf numFmtId="0" fontId="0" fillId="2" borderId="29" xfId="0" applyFill="1" applyBorder="1"/>
    <xf numFmtId="0" fontId="0" fillId="0" borderId="0" xfId="0" applyAlignment="1">
      <alignment horizontal="left" vertical="top" wrapText="1"/>
    </xf>
    <xf numFmtId="0" fontId="15" fillId="0" borderId="1" xfId="3" applyBorder="1" applyAlignment="1">
      <alignment horizontal="left" vertical="top" wrapText="1"/>
    </xf>
    <xf numFmtId="0" fontId="6" fillId="0" borderId="1" xfId="0" applyFont="1" applyBorder="1" applyAlignment="1">
      <alignment horizontal="left" vertical="top" wrapText="1"/>
    </xf>
    <xf numFmtId="0" fontId="0" fillId="0" borderId="1" xfId="0" applyBorder="1" applyAlignment="1">
      <alignment vertical="top" wrapText="1"/>
    </xf>
    <xf numFmtId="0" fontId="0" fillId="2" borderId="1" xfId="0" applyFill="1" applyBorder="1" applyAlignment="1">
      <alignment vertical="top" wrapText="1"/>
    </xf>
    <xf numFmtId="0" fontId="15" fillId="0" borderId="1" xfId="3" quotePrefix="1" applyBorder="1" applyAlignment="1">
      <alignment horizontal="left" vertical="top" wrapText="1"/>
    </xf>
    <xf numFmtId="0" fontId="20" fillId="0" borderId="0" xfId="0" applyFont="1"/>
    <xf numFmtId="0" fontId="20" fillId="0" borderId="34" xfId="0" applyFont="1" applyBorder="1"/>
    <xf numFmtId="0" fontId="0" fillId="0" borderId="35" xfId="0" applyBorder="1" applyAlignment="1">
      <alignment vertical="center" wrapText="1"/>
    </xf>
    <xf numFmtId="0" fontId="7" fillId="0" borderId="21" xfId="0" applyFont="1" applyBorder="1" applyAlignment="1">
      <alignment wrapText="1"/>
    </xf>
    <xf numFmtId="0" fontId="0" fillId="0" borderId="21" xfId="0" applyBorder="1" applyAlignment="1">
      <alignment vertical="top" wrapText="1"/>
    </xf>
    <xf numFmtId="0" fontId="0" fillId="0" borderId="9" xfId="0" applyBorder="1" applyAlignment="1">
      <alignment vertical="top" wrapText="1"/>
    </xf>
    <xf numFmtId="0" fontId="0" fillId="0" borderId="23" xfId="0" applyBorder="1" applyAlignment="1">
      <alignment vertical="top" wrapText="1"/>
    </xf>
    <xf numFmtId="0" fontId="0" fillId="0" borderId="0" xfId="0" applyAlignment="1">
      <alignment vertical="center" wrapText="1"/>
    </xf>
    <xf numFmtId="0" fontId="8" fillId="0" borderId="0" xfId="0" applyFont="1" applyAlignment="1">
      <alignment vertical="center" wrapText="1"/>
    </xf>
    <xf numFmtId="0" fontId="5" fillId="2" borderId="1" xfId="0" applyFont="1" applyFill="1" applyBorder="1" applyAlignment="1">
      <alignment horizontal="left" vertical="top" wrapText="1"/>
    </xf>
    <xf numFmtId="0" fontId="0" fillId="2" borderId="1" xfId="0" applyFill="1" applyBorder="1" applyAlignment="1">
      <alignment horizontal="left" vertical="top" wrapText="1"/>
    </xf>
    <xf numFmtId="0" fontId="0" fillId="0" borderId="0" xfId="0" applyAlignment="1">
      <alignment horizontal="center" vertical="top" wrapText="1"/>
    </xf>
    <xf numFmtId="0" fontId="0" fillId="2" borderId="7" xfId="0" applyFill="1" applyBorder="1" applyAlignment="1">
      <alignment horizontal="left" vertical="top" wrapText="1"/>
    </xf>
    <xf numFmtId="0" fontId="0" fillId="0" borderId="7" xfId="0" applyBorder="1" applyAlignment="1">
      <alignment horizontal="left" vertical="top" wrapText="1"/>
    </xf>
    <xf numFmtId="0" fontId="0" fillId="2" borderId="7" xfId="0" applyFill="1" applyBorder="1" applyAlignment="1">
      <alignment vertical="top" wrapText="1"/>
    </xf>
    <xf numFmtId="49" fontId="0" fillId="2" borderId="1" xfId="0" applyNumberFormat="1" applyFill="1" applyBorder="1" applyAlignment="1">
      <alignment horizontal="center" vertical="top" wrapText="1"/>
    </xf>
    <xf numFmtId="0" fontId="7" fillId="0" borderId="0" xfId="0" applyFont="1" applyAlignment="1">
      <alignment horizontal="left" vertical="top" wrapText="1"/>
    </xf>
    <xf numFmtId="0" fontId="21" fillId="0" borderId="0" xfId="0" applyFont="1" applyAlignment="1">
      <alignment vertical="top" wrapText="1"/>
    </xf>
    <xf numFmtId="0" fontId="22" fillId="0" borderId="1" xfId="0" applyFont="1" applyBorder="1" applyAlignment="1">
      <alignment vertical="top" wrapText="1"/>
    </xf>
    <xf numFmtId="0" fontId="22" fillId="0" borderId="0" xfId="0" applyFont="1"/>
    <xf numFmtId="0" fontId="22" fillId="0" borderId="8" xfId="0" applyFont="1" applyBorder="1"/>
    <xf numFmtId="0" fontId="0" fillId="0" borderId="8" xfId="0" applyBorder="1" applyAlignment="1">
      <alignment vertical="top"/>
    </xf>
    <xf numFmtId="0" fontId="22" fillId="0" borderId="8" xfId="0" applyFont="1" applyBorder="1" applyAlignment="1">
      <alignment vertical="top"/>
    </xf>
    <xf numFmtId="0" fontId="0" fillId="0" borderId="32" xfId="0" applyBorder="1" applyAlignment="1">
      <alignment vertical="top"/>
    </xf>
    <xf numFmtId="0" fontId="22" fillId="0" borderId="8" xfId="0" applyFont="1" applyBorder="1" applyAlignment="1">
      <alignment vertical="top" wrapText="1"/>
    </xf>
    <xf numFmtId="0" fontId="0" fillId="0" borderId="8" xfId="0" applyBorder="1" applyAlignment="1">
      <alignment vertical="top" wrapText="1"/>
    </xf>
    <xf numFmtId="0" fontId="22" fillId="0" borderId="32" xfId="0" applyFont="1" applyBorder="1" applyAlignment="1">
      <alignment vertical="top"/>
    </xf>
    <xf numFmtId="0" fontId="22" fillId="0" borderId="7" xfId="0" applyFont="1" applyBorder="1" applyAlignment="1">
      <alignment vertical="top"/>
    </xf>
    <xf numFmtId="0" fontId="6" fillId="0" borderId="0" xfId="0" applyFont="1" applyAlignment="1">
      <alignment vertical="top" wrapText="1"/>
    </xf>
    <xf numFmtId="0" fontId="27" fillId="0" borderId="1" xfId="0" applyFont="1" applyBorder="1" applyAlignment="1">
      <alignment vertical="top" wrapText="1"/>
    </xf>
    <xf numFmtId="0" fontId="21" fillId="0" borderId="8" xfId="0" applyFont="1" applyBorder="1" applyAlignment="1">
      <alignment vertical="top" wrapText="1"/>
    </xf>
    <xf numFmtId="0" fontId="22" fillId="0" borderId="8" xfId="0" applyFont="1" applyBorder="1" applyAlignment="1">
      <alignment horizontal="left" vertical="top" wrapText="1"/>
    </xf>
    <xf numFmtId="9" fontId="0" fillId="0" borderId="0" xfId="0" applyNumberFormat="1"/>
    <xf numFmtId="49" fontId="0" fillId="2" borderId="1" xfId="0" applyNumberFormat="1" applyFill="1" applyBorder="1" applyAlignment="1">
      <alignment horizontal="center" vertical="center" wrapText="1"/>
    </xf>
    <xf numFmtId="0" fontId="15" fillId="0" borderId="0" xfId="3" applyAlignment="1">
      <alignment vertical="center" wrapText="1"/>
    </xf>
    <xf numFmtId="0" fontId="15" fillId="0" borderId="0" xfId="3" applyAlignment="1">
      <alignment wrapText="1"/>
    </xf>
    <xf numFmtId="0" fontId="15" fillId="0" borderId="0" xfId="3" applyAlignment="1">
      <alignment horizontal="left" wrapText="1"/>
    </xf>
    <xf numFmtId="0" fontId="4" fillId="0" borderId="0" xfId="0" applyFont="1" applyAlignment="1">
      <alignment vertical="center" wrapText="1"/>
    </xf>
    <xf numFmtId="0" fontId="12" fillId="0" borderId="0" xfId="0" applyFont="1" applyAlignment="1">
      <alignment wrapText="1"/>
    </xf>
    <xf numFmtId="0" fontId="29" fillId="0" borderId="0" xfId="0" applyFont="1" applyAlignment="1">
      <alignment wrapText="1"/>
    </xf>
    <xf numFmtId="0" fontId="8" fillId="0" borderId="0" xfId="13" applyFont="1" applyAlignment="1">
      <alignment wrapText="1"/>
    </xf>
    <xf numFmtId="0" fontId="4" fillId="0" borderId="0" xfId="13"/>
    <xf numFmtId="0" fontId="7" fillId="0" borderId="0" xfId="13" applyFont="1" applyAlignment="1">
      <alignment wrapText="1"/>
    </xf>
    <xf numFmtId="0" fontId="4" fillId="0" borderId="0" xfId="13" applyAlignment="1">
      <alignment wrapText="1"/>
    </xf>
    <xf numFmtId="0" fontId="6" fillId="2" borderId="1" xfId="13" applyFont="1" applyFill="1" applyBorder="1" applyAlignment="1">
      <alignment horizontal="left" vertical="top" wrapText="1"/>
    </xf>
    <xf numFmtId="0" fontId="6" fillId="0" borderId="0" xfId="13" applyFont="1" applyAlignment="1">
      <alignment horizontal="left" vertical="top" wrapText="1"/>
    </xf>
    <xf numFmtId="0" fontId="7" fillId="0" borderId="1" xfId="13" applyFont="1" applyBorder="1" applyAlignment="1">
      <alignment vertical="top" wrapText="1"/>
    </xf>
    <xf numFmtId="0" fontId="7" fillId="0" borderId="1" xfId="13" applyFont="1" applyBorder="1" applyAlignment="1">
      <alignment horizontal="center" vertical="top" wrapText="1"/>
    </xf>
    <xf numFmtId="0" fontId="7" fillId="0" borderId="3" xfId="13" applyFont="1" applyBorder="1" applyAlignment="1">
      <alignment horizontal="center" wrapText="1"/>
    </xf>
    <xf numFmtId="0" fontId="6" fillId="0" borderId="0" xfId="13" applyFont="1" applyAlignment="1">
      <alignment wrapText="1"/>
    </xf>
    <xf numFmtId="0" fontId="4" fillId="2" borderId="1" xfId="13" applyFill="1" applyBorder="1" applyAlignment="1">
      <alignment horizontal="left" wrapText="1"/>
    </xf>
    <xf numFmtId="0" fontId="4" fillId="0" borderId="1" xfId="13" applyBorder="1" applyAlignment="1">
      <alignment horizontal="left" wrapText="1"/>
    </xf>
    <xf numFmtId="0" fontId="4" fillId="0" borderId="0" xfId="13" applyAlignment="1">
      <alignment horizontal="center" wrapText="1"/>
    </xf>
    <xf numFmtId="0" fontId="4" fillId="0" borderId="0" xfId="13" applyAlignment="1">
      <alignment horizontal="left" wrapText="1"/>
    </xf>
    <xf numFmtId="0" fontId="19" fillId="2" borderId="1" xfId="13" applyFont="1" applyFill="1" applyBorder="1" applyAlignment="1">
      <alignment vertical="top" wrapText="1"/>
    </xf>
    <xf numFmtId="0" fontId="7" fillId="0" borderId="0" xfId="13" applyFont="1" applyAlignment="1">
      <alignment vertical="top" wrapText="1"/>
    </xf>
    <xf numFmtId="0" fontId="19" fillId="0" borderId="0" xfId="13" applyFont="1" applyAlignment="1">
      <alignment vertical="top" wrapText="1"/>
    </xf>
    <xf numFmtId="0" fontId="12" fillId="0" borderId="0" xfId="13" applyFont="1" applyAlignment="1">
      <alignment wrapText="1"/>
    </xf>
    <xf numFmtId="0" fontId="22" fillId="0" borderId="1" xfId="0" applyFont="1" applyBorder="1" applyAlignment="1" applyProtection="1">
      <alignment vertical="top" wrapText="1"/>
      <protection locked="0"/>
    </xf>
    <xf numFmtId="0" fontId="22" fillId="0" borderId="1" xfId="0" applyFont="1" applyBorder="1" applyProtection="1">
      <protection locked="0"/>
    </xf>
    <xf numFmtId="0" fontId="22" fillId="0" borderId="1" xfId="0" applyFont="1" applyBorder="1" applyAlignment="1" applyProtection="1">
      <alignment wrapText="1"/>
      <protection locked="0"/>
    </xf>
    <xf numFmtId="0" fontId="0" fillId="0" borderId="1" xfId="0" applyBorder="1" applyProtection="1">
      <protection locked="0"/>
    </xf>
    <xf numFmtId="0" fontId="0" fillId="0" borderId="1" xfId="0" applyBorder="1" applyAlignment="1" applyProtection="1">
      <alignment wrapText="1"/>
      <protection locked="0"/>
    </xf>
    <xf numFmtId="0" fontId="22" fillId="0" borderId="8" xfId="0" applyFont="1" applyBorder="1" applyAlignment="1" applyProtection="1">
      <alignment vertical="top" wrapText="1"/>
      <protection locked="0"/>
    </xf>
    <xf numFmtId="0" fontId="0" fillId="0" borderId="8" xfId="0" applyBorder="1" applyAlignment="1" applyProtection="1">
      <alignment vertical="top" wrapText="1"/>
      <protection locked="0"/>
    </xf>
    <xf numFmtId="0" fontId="0" fillId="0" borderId="1" xfId="0" applyBorder="1" applyAlignment="1" applyProtection="1">
      <alignment vertical="top"/>
      <protection locked="0"/>
    </xf>
    <xf numFmtId="0" fontId="0" fillId="0" borderId="1" xfId="0" applyBorder="1" applyAlignment="1" applyProtection="1">
      <alignment vertical="top" wrapText="1"/>
      <protection locked="0"/>
    </xf>
    <xf numFmtId="0" fontId="0" fillId="0" borderId="8" xfId="0" applyBorder="1" applyAlignment="1" applyProtection="1">
      <alignment vertical="top"/>
      <protection locked="0"/>
    </xf>
    <xf numFmtId="0" fontId="0" fillId="0" borderId="8" xfId="0" applyBorder="1" applyProtection="1">
      <protection locked="0"/>
    </xf>
    <xf numFmtId="0" fontId="11" fillId="0" borderId="1" xfId="0" applyFont="1" applyBorder="1" applyAlignment="1" applyProtection="1">
      <alignment horizontal="left" vertical="top" wrapText="1"/>
      <protection locked="0"/>
    </xf>
    <xf numFmtId="0" fontId="12" fillId="0" borderId="1" xfId="0" applyFont="1" applyBorder="1" applyAlignment="1" applyProtection="1">
      <alignment horizontal="left" vertical="top" wrapText="1"/>
      <protection locked="0"/>
    </xf>
    <xf numFmtId="0" fontId="0" fillId="0" borderId="8" xfId="0" applyBorder="1" applyAlignment="1" applyProtection="1">
      <alignment horizontal="left" vertical="top"/>
      <protection locked="0"/>
    </xf>
    <xf numFmtId="0" fontId="12" fillId="0" borderId="8" xfId="0" applyFont="1" applyBorder="1" applyAlignment="1" applyProtection="1">
      <alignment horizontal="left" vertical="top" wrapText="1"/>
      <protection locked="0"/>
    </xf>
    <xf numFmtId="0" fontId="0" fillId="0" borderId="1" xfId="0" applyBorder="1" applyAlignment="1" applyProtection="1">
      <alignment horizontal="left" vertical="top" wrapText="1"/>
      <protection locked="0"/>
    </xf>
    <xf numFmtId="0" fontId="0" fillId="0" borderId="7" xfId="0" applyBorder="1" applyAlignment="1" applyProtection="1">
      <alignment horizontal="left" vertical="top" wrapText="1"/>
      <protection locked="0"/>
    </xf>
    <xf numFmtId="0" fontId="0" fillId="0" borderId="1" xfId="0" applyBorder="1" applyAlignment="1" applyProtection="1">
      <alignment horizontal="left" vertical="top"/>
      <protection locked="0"/>
    </xf>
    <xf numFmtId="0" fontId="19" fillId="2" borderId="1" xfId="0" applyFont="1" applyFill="1" applyBorder="1" applyAlignment="1" applyProtection="1">
      <alignment vertical="top" wrapText="1"/>
      <protection locked="0"/>
    </xf>
    <xf numFmtId="0" fontId="3" fillId="2" borderId="1" xfId="0" applyFont="1" applyFill="1" applyBorder="1" applyAlignment="1">
      <alignment horizontal="left" vertical="top" wrapText="1"/>
    </xf>
    <xf numFmtId="0" fontId="3" fillId="0" borderId="1" xfId="0" applyFont="1" applyBorder="1" applyAlignment="1">
      <alignment horizontal="left" vertical="top" wrapText="1"/>
    </xf>
    <xf numFmtId="0" fontId="33" fillId="2" borderId="1" xfId="0" applyFont="1" applyFill="1" applyBorder="1" applyAlignment="1">
      <alignment wrapText="1"/>
    </xf>
    <xf numFmtId="0" fontId="33" fillId="0" borderId="1" xfId="0" applyFont="1" applyBorder="1" applyAlignment="1">
      <alignment vertical="top" wrapText="1"/>
    </xf>
    <xf numFmtId="0" fontId="33" fillId="2" borderId="1" xfId="0" applyFont="1" applyFill="1" applyBorder="1" applyAlignment="1">
      <alignment vertical="top" wrapText="1"/>
    </xf>
    <xf numFmtId="0" fontId="2" fillId="0" borderId="1" xfId="0" applyFont="1" applyBorder="1" applyAlignment="1">
      <alignment horizontal="left" vertical="top" wrapText="1"/>
    </xf>
    <xf numFmtId="0" fontId="34" fillId="0" borderId="0" xfId="0" applyFont="1" applyAlignment="1">
      <alignment vertical="center" wrapText="1"/>
    </xf>
    <xf numFmtId="0" fontId="0" fillId="0" borderId="0" xfId="0" applyAlignment="1">
      <alignment horizontal="left" vertical="top" wrapText="1"/>
    </xf>
    <xf numFmtId="0" fontId="0" fillId="0" borderId="0" xfId="0" applyAlignment="1">
      <alignment wrapText="1"/>
    </xf>
    <xf numFmtId="0" fontId="0" fillId="0" borderId="13" xfId="0" applyBorder="1"/>
    <xf numFmtId="0" fontId="0" fillId="0" borderId="14" xfId="0" applyBorder="1"/>
    <xf numFmtId="0" fontId="0" fillId="2" borderId="15" xfId="0" applyFill="1" applyBorder="1"/>
    <xf numFmtId="0" fontId="0" fillId="2" borderId="17" xfId="0" applyFill="1" applyBorder="1"/>
    <xf numFmtId="0" fontId="0" fillId="2" borderId="13" xfId="0" applyFill="1" applyBorder="1"/>
    <xf numFmtId="0" fontId="0" fillId="2" borderId="14" xfId="0" applyFill="1" applyBorder="1"/>
    <xf numFmtId="0" fontId="8" fillId="0" borderId="0" xfId="0" applyFont="1" applyAlignment="1">
      <alignment vertical="center" wrapText="1"/>
    </xf>
    <xf numFmtId="0" fontId="0" fillId="0" borderId="0" xfId="0" applyAlignment="1">
      <alignment vertical="top" wrapText="1"/>
    </xf>
    <xf numFmtId="0" fontId="0" fillId="0" borderId="0" xfId="0" applyAlignment="1">
      <alignment wrapText="1"/>
    </xf>
    <xf numFmtId="0" fontId="7" fillId="0" borderId="0" xfId="0" applyFont="1" applyAlignment="1">
      <alignment vertical="top" wrapText="1"/>
    </xf>
    <xf numFmtId="0" fontId="0" fillId="0" borderId="0" xfId="0" applyBorder="1" applyAlignment="1">
      <alignment wrapText="1"/>
    </xf>
    <xf numFmtId="0" fontId="6" fillId="0" borderId="0" xfId="0" applyFont="1" applyBorder="1" applyAlignment="1">
      <alignment horizontal="left" vertical="top" wrapText="1"/>
    </xf>
    <xf numFmtId="0" fontId="0" fillId="0" borderId="0" xfId="0" applyAlignment="1">
      <alignment horizontal="center"/>
    </xf>
    <xf numFmtId="0" fontId="0" fillId="0" borderId="0" xfId="0" quotePrefix="1" applyAlignment="1">
      <alignment horizontal="center"/>
    </xf>
    <xf numFmtId="0" fontId="6" fillId="0" borderId="1" xfId="0" applyFont="1" applyBorder="1" applyAlignment="1">
      <alignment horizontal="center"/>
    </xf>
    <xf numFmtId="0" fontId="0" fillId="2" borderId="1" xfId="0" applyFont="1" applyFill="1" applyBorder="1" applyAlignment="1">
      <alignment horizontal="center" vertical="center" wrapText="1"/>
    </xf>
    <xf numFmtId="0" fontId="0" fillId="2" borderId="1" xfId="0" applyFill="1" applyBorder="1" applyAlignment="1">
      <alignment horizontal="center" vertical="center" wrapText="1"/>
    </xf>
    <xf numFmtId="0" fontId="0" fillId="2" borderId="8" xfId="0" applyFill="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4" xfId="0" applyBorder="1" applyAlignment="1">
      <alignment horizontal="center" vertical="center" wrapText="1"/>
    </xf>
    <xf numFmtId="0" fontId="0" fillId="2" borderId="8" xfId="0" applyFill="1" applyBorder="1" applyAlignment="1" applyProtection="1">
      <alignment horizontal="center" vertical="center" wrapText="1"/>
      <protection locked="0"/>
    </xf>
    <xf numFmtId="0" fontId="0" fillId="2" borderId="7" xfId="0" applyFill="1" applyBorder="1" applyAlignment="1">
      <alignment horizontal="center" vertical="center" wrapText="1"/>
    </xf>
    <xf numFmtId="0" fontId="4" fillId="2" borderId="1" xfId="13" applyFill="1" applyBorder="1" applyAlignment="1">
      <alignment horizontal="center" vertical="center" wrapText="1"/>
    </xf>
    <xf numFmtId="0" fontId="4" fillId="0" borderId="1" xfId="13" applyBorder="1" applyAlignment="1">
      <alignment horizontal="center" vertical="center" wrapText="1"/>
    </xf>
    <xf numFmtId="0" fontId="4" fillId="0" borderId="0" xfId="13" applyAlignment="1">
      <alignment horizontal="center" vertical="center" wrapText="1"/>
    </xf>
    <xf numFmtId="0" fontId="12" fillId="0" borderId="1" xfId="0" applyFont="1" applyBorder="1" applyAlignment="1">
      <alignment horizontal="right" vertical="top" wrapText="1"/>
    </xf>
    <xf numFmtId="0" fontId="8" fillId="0" borderId="0" xfId="0" applyFont="1" applyAlignment="1">
      <alignment vertical="center" wrapText="1"/>
    </xf>
    <xf numFmtId="0" fontId="0" fillId="0" borderId="0" xfId="0" applyAlignment="1">
      <alignment vertical="top" wrapText="1"/>
    </xf>
    <xf numFmtId="0" fontId="0" fillId="0" borderId="0" xfId="0" applyAlignment="1">
      <alignment horizontal="left" vertical="top" wrapText="1"/>
    </xf>
    <xf numFmtId="0" fontId="8" fillId="0" borderId="0" xfId="0" applyFont="1" applyAlignment="1">
      <alignment horizontal="left" wrapText="1"/>
    </xf>
    <xf numFmtId="0" fontId="7" fillId="0" borderId="7" xfId="0" applyFont="1" applyBorder="1" applyAlignment="1">
      <alignment horizontal="left" wrapText="1"/>
    </xf>
    <xf numFmtId="0" fontId="7" fillId="0" borderId="32" xfId="0" applyFont="1" applyBorder="1" applyAlignment="1">
      <alignment horizontal="left" wrapText="1"/>
    </xf>
    <xf numFmtId="0" fontId="7" fillId="0" borderId="8" xfId="0" applyFont="1" applyBorder="1" applyAlignment="1">
      <alignment horizontal="left" wrapText="1"/>
    </xf>
    <xf numFmtId="0" fontId="8" fillId="0" borderId="0" xfId="0" applyFont="1" applyAlignment="1">
      <alignment horizontal="left" vertical="top" wrapText="1" readingOrder="1"/>
    </xf>
    <xf numFmtId="0" fontId="12" fillId="0" borderId="3" xfId="0" applyFont="1" applyBorder="1" applyAlignment="1">
      <alignment horizontal="left" vertical="top" wrapText="1"/>
    </xf>
    <xf numFmtId="0" fontId="12" fillId="0" borderId="6" xfId="0" applyFont="1" applyBorder="1" applyAlignment="1">
      <alignment horizontal="left" vertical="top" wrapText="1"/>
    </xf>
    <xf numFmtId="0" fontId="12" fillId="0" borderId="4" xfId="0" applyFont="1" applyBorder="1" applyAlignment="1">
      <alignment horizontal="left" vertical="top" wrapText="1"/>
    </xf>
    <xf numFmtId="0" fontId="0" fillId="0" borderId="3" xfId="0" applyBorder="1" applyAlignment="1">
      <alignment horizontal="right" vertical="top" wrapText="1"/>
    </xf>
    <xf numFmtId="0" fontId="0" fillId="0" borderId="6" xfId="0" applyBorder="1" applyAlignment="1">
      <alignment horizontal="right" vertical="top" wrapText="1"/>
    </xf>
    <xf numFmtId="0" fontId="0" fillId="0" borderId="4" xfId="0" applyBorder="1" applyAlignment="1">
      <alignment horizontal="right" vertical="top" wrapText="1"/>
    </xf>
    <xf numFmtId="0" fontId="0" fillId="0" borderId="3" xfId="0" applyBorder="1"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22" fillId="0" borderId="3" xfId="0" applyFont="1" applyBorder="1" applyAlignment="1">
      <alignment horizontal="left" vertical="top" wrapText="1"/>
    </xf>
    <xf numFmtId="0" fontId="22" fillId="0" borderId="4" xfId="0" applyFont="1" applyBorder="1" applyAlignment="1">
      <alignment horizontal="left" vertical="top" wrapText="1"/>
    </xf>
    <xf numFmtId="0" fontId="22" fillId="0" borderId="6" xfId="0" applyFont="1" applyBorder="1" applyAlignment="1">
      <alignment horizontal="left" vertical="top" wrapText="1"/>
    </xf>
    <xf numFmtId="0" fontId="22" fillId="0" borderId="5" xfId="0" applyFont="1" applyBorder="1" applyAlignment="1">
      <alignment horizontal="left" vertical="top" wrapText="1"/>
    </xf>
    <xf numFmtId="0" fontId="22" fillId="0" borderId="36" xfId="0" applyFont="1" applyBorder="1" applyAlignment="1">
      <alignment horizontal="left" vertical="top" wrapText="1"/>
    </xf>
    <xf numFmtId="0" fontId="22" fillId="0" borderId="37" xfId="0" applyFont="1" applyBorder="1" applyAlignment="1">
      <alignment horizontal="left" vertical="top" wrapText="1"/>
    </xf>
    <xf numFmtId="0" fontId="25" fillId="0" borderId="5" xfId="0" applyFont="1" applyBorder="1" applyAlignment="1">
      <alignment horizontal="left" vertical="top" wrapText="1"/>
    </xf>
    <xf numFmtId="0" fontId="25" fillId="0" borderId="37" xfId="0" applyFont="1" applyBorder="1" applyAlignment="1">
      <alignment horizontal="left" vertical="top" wrapText="1"/>
    </xf>
    <xf numFmtId="0" fontId="25" fillId="0" borderId="36" xfId="0" applyFont="1" applyBorder="1" applyAlignment="1">
      <alignment horizontal="left" vertical="top" wrapText="1"/>
    </xf>
    <xf numFmtId="0" fontId="24" fillId="0" borderId="5" xfId="0" applyFont="1" applyBorder="1" applyAlignment="1">
      <alignment horizontal="left" vertical="top" wrapText="1"/>
    </xf>
    <xf numFmtId="0" fontId="24" fillId="0" borderId="37" xfId="0" applyFont="1" applyBorder="1" applyAlignment="1">
      <alignment horizontal="left" vertical="top" wrapText="1"/>
    </xf>
    <xf numFmtId="0" fontId="24" fillId="0" borderId="36" xfId="0" applyFont="1" applyBorder="1" applyAlignment="1">
      <alignment horizontal="left" vertical="top" wrapText="1"/>
    </xf>
    <xf numFmtId="0" fontId="15" fillId="0" borderId="0" xfId="3" applyAlignment="1">
      <alignment vertical="center" wrapText="1"/>
    </xf>
    <xf numFmtId="0" fontId="15" fillId="0" borderId="0" xfId="3" applyAlignment="1">
      <alignment wrapText="1"/>
    </xf>
    <xf numFmtId="0" fontId="15" fillId="0" borderId="0" xfId="3" applyAlignment="1">
      <alignment horizontal="left" vertical="center" wrapText="1"/>
    </xf>
    <xf numFmtId="0" fontId="15" fillId="0" borderId="0" xfId="3" applyAlignment="1">
      <alignment horizontal="left" wrapText="1"/>
    </xf>
    <xf numFmtId="0" fontId="7" fillId="0" borderId="0" xfId="0" applyFont="1" applyAlignment="1">
      <alignment vertical="top" wrapText="1"/>
    </xf>
    <xf numFmtId="0" fontId="0" fillId="0" borderId="0" xfId="0" applyAlignment="1">
      <alignment wrapText="1"/>
    </xf>
    <xf numFmtId="0" fontId="0" fillId="0" borderId="1" xfId="0" applyBorder="1" applyAlignment="1">
      <alignment horizontal="left" vertical="top" wrapText="1"/>
    </xf>
    <xf numFmtId="0" fontId="6" fillId="0" borderId="18" xfId="0" applyFont="1" applyBorder="1"/>
    <xf numFmtId="0" fontId="6" fillId="0" borderId="19" xfId="0" applyFont="1" applyBorder="1"/>
    <xf numFmtId="0" fontId="6" fillId="0" borderId="10" xfId="0" applyFont="1" applyBorder="1" applyAlignment="1">
      <alignment horizontal="center"/>
    </xf>
    <xf numFmtId="0" fontId="6" fillId="0" borderId="11" xfId="0" applyFont="1" applyBorder="1" applyAlignment="1">
      <alignment horizontal="center"/>
    </xf>
    <xf numFmtId="0" fontId="6" fillId="0" borderId="12" xfId="0" applyFont="1" applyBorder="1" applyAlignment="1">
      <alignment horizontal="center"/>
    </xf>
    <xf numFmtId="0" fontId="6" fillId="0" borderId="26" xfId="0" applyFont="1" applyBorder="1" applyAlignment="1">
      <alignment horizontal="center"/>
    </xf>
    <xf numFmtId="0" fontId="7" fillId="0" borderId="0" xfId="0" applyFont="1" applyAlignment="1">
      <alignment wrapText="1"/>
    </xf>
    <xf numFmtId="0" fontId="6" fillId="0" borderId="24" xfId="0" applyFont="1" applyBorder="1" applyAlignment="1">
      <alignment horizontal="center"/>
    </xf>
    <xf numFmtId="0" fontId="6" fillId="0" borderId="25" xfId="0" applyFont="1" applyBorder="1" applyAlignment="1">
      <alignment horizontal="center"/>
    </xf>
    <xf numFmtId="0" fontId="6" fillId="0" borderId="27" xfId="0" applyFont="1" applyBorder="1" applyAlignment="1">
      <alignment horizontal="center"/>
    </xf>
    <xf numFmtId="0" fontId="6" fillId="0" borderId="28" xfId="0" applyFont="1" applyBorder="1" applyAlignment="1">
      <alignment horizontal="center"/>
    </xf>
    <xf numFmtId="0" fontId="0" fillId="0" borderId="13" xfId="0" applyBorder="1"/>
    <xf numFmtId="0" fontId="0" fillId="0" borderId="14" xfId="0" applyBorder="1"/>
    <xf numFmtId="0" fontId="0" fillId="2" borderId="13" xfId="0" applyFill="1" applyBorder="1"/>
    <xf numFmtId="0" fontId="0" fillId="2" borderId="14" xfId="0" applyFill="1" applyBorder="1"/>
    <xf numFmtId="0" fontId="6" fillId="0" borderId="10" xfId="0" applyFont="1" applyBorder="1"/>
    <xf numFmtId="0" fontId="6" fillId="0" borderId="12" xfId="0" applyFont="1" applyBorder="1"/>
    <xf numFmtId="0" fontId="6" fillId="0" borderId="13" xfId="0" applyFont="1" applyBorder="1"/>
    <xf numFmtId="0" fontId="6" fillId="0" borderId="14" xfId="0" applyFont="1" applyBorder="1"/>
    <xf numFmtId="0" fontId="0" fillId="2" borderId="15" xfId="0" applyFill="1" applyBorder="1"/>
    <xf numFmtId="0" fontId="0" fillId="2" borderId="17" xfId="0" applyFill="1" applyBorder="1"/>
  </cellXfs>
  <cellStyles count="14">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Hyperlink" xfId="1" builtinId="8" hidden="1"/>
    <cellStyle name="Hyperlink" xfId="3" builtinId="8"/>
    <cellStyle name="Normal" xfId="0" builtinId="0"/>
    <cellStyle name="Normal 2" xfId="13" xr:uid="{BF51F1AD-3D18-43FE-BF85-903324C7F2E1}"/>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de-DE" sz="1600" b="1">
                <a:solidFill>
                  <a:schemeClr val="tx1"/>
                </a:solidFill>
              </a:rPr>
              <a:t>Advanced METT scores per management element</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0"/>
          <c:order val="0"/>
          <c:tx>
            <c:strRef>
              <c:f>'Advanced METT questions+scores'!$L$5</c:f>
              <c:strCache>
                <c:ptCount val="1"/>
                <c:pt idx="0">
                  <c:v>Your Element %</c:v>
                </c:pt>
              </c:strCache>
            </c:strRef>
          </c:tx>
          <c:spPr>
            <a:ln w="28575" cap="rnd">
              <a:solidFill>
                <a:schemeClr val="accent1"/>
              </a:solidFill>
              <a:round/>
            </a:ln>
            <a:effectLst/>
          </c:spPr>
          <c:marker>
            <c:symbol val="none"/>
          </c:marker>
          <c:cat>
            <c:strRef>
              <c:f>'Advanced METT questions+scores'!$I$6:$I$11</c:f>
              <c:strCache>
                <c:ptCount val="6"/>
                <c:pt idx="0">
                  <c:v>Context</c:v>
                </c:pt>
                <c:pt idx="1">
                  <c:v>Planning</c:v>
                </c:pt>
                <c:pt idx="2">
                  <c:v>Inputs</c:v>
                </c:pt>
                <c:pt idx="3">
                  <c:v>Processes</c:v>
                </c:pt>
                <c:pt idx="4">
                  <c:v>Outputs</c:v>
                </c:pt>
                <c:pt idx="5">
                  <c:v>Outcomes</c:v>
                </c:pt>
              </c:strCache>
            </c:strRef>
          </c:cat>
          <c:val>
            <c:numRef>
              <c:f>'Advanced METT questions+scores'!$L$6:$L$11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6A2D-4EB0-9EA6-43A9B2CD6BF8}"/>
            </c:ext>
          </c:extLst>
        </c:ser>
        <c:ser>
          <c:idx val="1"/>
          <c:order val="1"/>
          <c:tx>
            <c:strRef>
              <c:f>'Advanced METT questions+scores'!$M$5</c:f>
              <c:strCache>
                <c:ptCount val="1"/>
                <c:pt idx="0">
                  <c:v>Max %</c:v>
                </c:pt>
              </c:strCache>
            </c:strRef>
          </c:tx>
          <c:spPr>
            <a:ln w="28575" cap="rnd">
              <a:solidFill>
                <a:schemeClr val="accent2"/>
              </a:solidFill>
              <a:round/>
            </a:ln>
            <a:effectLst/>
          </c:spPr>
          <c:marker>
            <c:symbol val="none"/>
          </c:marker>
          <c:cat>
            <c:strRef>
              <c:f>'Advanced METT questions+scores'!$I$6:$I$11</c:f>
              <c:strCache>
                <c:ptCount val="6"/>
                <c:pt idx="0">
                  <c:v>Context</c:v>
                </c:pt>
                <c:pt idx="1">
                  <c:v>Planning</c:v>
                </c:pt>
                <c:pt idx="2">
                  <c:v>Inputs</c:v>
                </c:pt>
                <c:pt idx="3">
                  <c:v>Processes</c:v>
                </c:pt>
                <c:pt idx="4">
                  <c:v>Outputs</c:v>
                </c:pt>
                <c:pt idx="5">
                  <c:v>Outcomes</c:v>
                </c:pt>
              </c:strCache>
            </c:strRef>
          </c:cat>
          <c:val>
            <c:numRef>
              <c:f>'Advanced METT questions+scores'!$M$6:$M$11</c:f>
              <c:numCache>
                <c:formatCode>0%</c:formatCode>
                <c:ptCount val="6"/>
                <c:pt idx="0">
                  <c:v>1</c:v>
                </c:pt>
                <c:pt idx="1">
                  <c:v>1</c:v>
                </c:pt>
                <c:pt idx="2">
                  <c:v>1</c:v>
                </c:pt>
                <c:pt idx="3">
                  <c:v>1</c:v>
                </c:pt>
                <c:pt idx="4">
                  <c:v>1</c:v>
                </c:pt>
                <c:pt idx="5">
                  <c:v>1</c:v>
                </c:pt>
              </c:numCache>
            </c:numRef>
          </c:val>
          <c:extLst>
            <c:ext xmlns:c16="http://schemas.microsoft.com/office/drawing/2014/chart" uri="{C3380CC4-5D6E-409C-BE32-E72D297353CC}">
              <c16:uniqueId val="{00000001-6A2D-4EB0-9EA6-43A9B2CD6BF8}"/>
            </c:ext>
          </c:extLst>
        </c:ser>
        <c:dLbls>
          <c:showLegendKey val="0"/>
          <c:showVal val="0"/>
          <c:showCatName val="0"/>
          <c:showSerName val="0"/>
          <c:showPercent val="0"/>
          <c:showBubbleSize val="0"/>
        </c:dLbls>
        <c:axId val="2003960704"/>
        <c:axId val="2001472384"/>
      </c:radarChart>
      <c:catAx>
        <c:axId val="200396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2001472384"/>
        <c:crosses val="autoZero"/>
        <c:auto val="1"/>
        <c:lblAlgn val="ctr"/>
        <c:lblOffset val="100"/>
        <c:noMultiLvlLbl val="0"/>
      </c:catAx>
      <c:valAx>
        <c:axId val="2001472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200396070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dvanced METT questions+scores'!$A$6"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fmlaLink="'Advanced METT questions+scores'!$A$7"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fmlaLink="'Advanced METT questions+scores'!$A$8"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Advanced METT questions+scores'!$A$9"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fmlaLink="'Advanced METT questions+scores'!$A$10"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fmlaLink="'Advanced METT questions+scores'!$A$1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fmlaLink="'Advanced METT questions+scores'!$A$12"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fmlaLink="'Advanced METT questions+scores'!$A$13"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fmlaLink="'Advanced METT questions+scores'!$A$14"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fmlaLink="'Advanced METT questions+scores'!$A$15"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fmlaLink="'Advanced METT questions+scores'!$A$16"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fmlaLink="'Advanced METT questions+scores'!$A$17"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fmlaLink="'Advanced METT questions+scores'!$A$18"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fmlaLink="'Advanced METT questions+scores'!$A$19"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fmlaLink="'Advanced METT questions+scores'!$A$20"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fmlaLink="'Advanced METT questions+scores'!$A$2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fmlaLink="'Advanced METT questions+scores'!$A$22"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fmlaLink="'Advanced METT questions+scores'!$A$23"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CheckBox" fmlaLink="'Advanced METT questions+scores'!$A$24"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fmlaLink="'Advanced METT questions+scores'!$A$25"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fmlaLink="'Advanced METT questions+scores'!$A$26"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fmlaLink="'Advanced METT questions+scores'!$A$27"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lockText="1" noThreeD="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CheckBox" lockText="1" noThreeD="1"/>
</file>

<file path=xl/ctrlProps/ctrlProp216.xml><?xml version="1.0" encoding="utf-8"?>
<formControlPr xmlns="http://schemas.microsoft.com/office/spreadsheetml/2009/9/main" objectType="CheckBox" fmlaLink="'Advanced METT questions+scores'!$A$28"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lockText="1" noThreeD="1"/>
</file>

<file path=xl/ctrlProps/ctrlProp219.xml><?xml version="1.0" encoding="utf-8"?>
<formControlPr xmlns="http://schemas.microsoft.com/office/spreadsheetml/2009/9/main" objectType="CheckBox" lockText="1" noThreeD="1"/>
</file>

<file path=xl/ctrlProps/ctrlProp220.xml><?xml version="1.0" encoding="utf-8"?>
<formControlPr xmlns="http://schemas.microsoft.com/office/spreadsheetml/2009/9/main" objectType="CheckBox" lockText="1" noThreeD="1"/>
</file>

<file path=xl/ctrlProps/ctrlProp221.xml><?xml version="1.0" encoding="utf-8"?>
<formControlPr xmlns="http://schemas.microsoft.com/office/spreadsheetml/2009/9/main" objectType="CheckBox" lockText="1" noThreeD="1"/>
</file>

<file path=xl/ctrlProps/ctrlProp222.xml><?xml version="1.0" encoding="utf-8"?>
<formControlPr xmlns="http://schemas.microsoft.com/office/spreadsheetml/2009/9/main" objectType="CheckBox" lockText="1" noThreeD="1"/>
</file>

<file path=xl/ctrlProps/ctrlProp223.xml><?xml version="1.0" encoding="utf-8"?>
<formControlPr xmlns="http://schemas.microsoft.com/office/spreadsheetml/2009/9/main" objectType="CheckBox" lockText="1" noThreeD="1"/>
</file>

<file path=xl/ctrlProps/ctrlProp224.xml><?xml version="1.0" encoding="utf-8"?>
<formControlPr xmlns="http://schemas.microsoft.com/office/spreadsheetml/2009/9/main" objectType="CheckBox" lockText="1" noThreeD="1"/>
</file>

<file path=xl/ctrlProps/ctrlProp225.xml><?xml version="1.0" encoding="utf-8"?>
<formControlPr xmlns="http://schemas.microsoft.com/office/spreadsheetml/2009/9/main" objectType="CheckBox" fmlaLink="'Advanced METT questions+scores'!$A$29" noThreeD="1"/>
</file>

<file path=xl/ctrlProps/ctrlProp226.xml><?xml version="1.0" encoding="utf-8"?>
<formControlPr xmlns="http://schemas.microsoft.com/office/spreadsheetml/2009/9/main" objectType="CheckBox"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CheckBox" lockText="1" noThreeD="1"/>
</file>

<file path=xl/ctrlProps/ctrlProp231.xml><?xml version="1.0" encoding="utf-8"?>
<formControlPr xmlns="http://schemas.microsoft.com/office/spreadsheetml/2009/9/main" objectType="CheckBox" lockText="1" noThreeD="1"/>
</file>

<file path=xl/ctrlProps/ctrlProp232.xml><?xml version="1.0" encoding="utf-8"?>
<formControlPr xmlns="http://schemas.microsoft.com/office/spreadsheetml/2009/9/main" objectType="CheckBox"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CheckBox" fmlaLink="'Advanced METT questions+scores'!$A$30"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CheckBox"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lockText="1" noThreeD="1"/>
</file>

<file path=xl/ctrlProps/ctrlProp239.xml><?xml version="1.0" encoding="utf-8"?>
<formControlPr xmlns="http://schemas.microsoft.com/office/spreadsheetml/2009/9/main" objectType="CheckBox"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lockText="1" noThreeD="1"/>
</file>

<file path=xl/ctrlProps/ctrlProp243.xml><?xml version="1.0" encoding="utf-8"?>
<formControlPr xmlns="http://schemas.microsoft.com/office/spreadsheetml/2009/9/main" objectType="CheckBox" fmlaLink="'Advanced METT questions+scores'!$A$31" noThreeD="1"/>
</file>

<file path=xl/ctrlProps/ctrlProp244.xml><?xml version="1.0" encoding="utf-8"?>
<formControlPr xmlns="http://schemas.microsoft.com/office/spreadsheetml/2009/9/main" objectType="CheckBox" lockText="1" noThreeD="1"/>
</file>

<file path=xl/ctrlProps/ctrlProp245.xml><?xml version="1.0" encoding="utf-8"?>
<formControlPr xmlns="http://schemas.microsoft.com/office/spreadsheetml/2009/9/main" objectType="CheckBox" lockText="1" noThreeD="1"/>
</file>

<file path=xl/ctrlProps/ctrlProp246.xml><?xml version="1.0" encoding="utf-8"?>
<formControlPr xmlns="http://schemas.microsoft.com/office/spreadsheetml/2009/9/main" objectType="CheckBox" lockText="1" noThreeD="1"/>
</file>

<file path=xl/ctrlProps/ctrlProp247.xml><?xml version="1.0" encoding="utf-8"?>
<formControlPr xmlns="http://schemas.microsoft.com/office/spreadsheetml/2009/9/main" objectType="CheckBox" lockText="1" noThreeD="1"/>
</file>

<file path=xl/ctrlProps/ctrlProp248.xml><?xml version="1.0" encoding="utf-8"?>
<formControlPr xmlns="http://schemas.microsoft.com/office/spreadsheetml/2009/9/main" objectType="CheckBox" lockText="1" noThreeD="1"/>
</file>

<file path=xl/ctrlProps/ctrlProp249.xml><?xml version="1.0" encoding="utf-8"?>
<formControlPr xmlns="http://schemas.microsoft.com/office/spreadsheetml/2009/9/main" objectType="CheckBox" lockText="1" noThreeD="1"/>
</file>

<file path=xl/ctrlProps/ctrlProp250.xml><?xml version="1.0" encoding="utf-8"?>
<formControlPr xmlns="http://schemas.microsoft.com/office/spreadsheetml/2009/9/main" objectType="CheckBox" lockText="1" noThreeD="1"/>
</file>

<file path=xl/ctrlProps/ctrlProp251.xml><?xml version="1.0" encoding="utf-8"?>
<formControlPr xmlns="http://schemas.microsoft.com/office/spreadsheetml/2009/9/main" objectType="CheckBox" lockText="1" noThreeD="1"/>
</file>

<file path=xl/ctrlProps/ctrlProp252.xml><?xml version="1.0" encoding="utf-8"?>
<formControlPr xmlns="http://schemas.microsoft.com/office/spreadsheetml/2009/9/main" objectType="CheckBox" lockText="1" noThreeD="1"/>
</file>

<file path=xl/ctrlProps/ctrlProp253.xml><?xml version="1.0" encoding="utf-8"?>
<formControlPr xmlns="http://schemas.microsoft.com/office/spreadsheetml/2009/9/main" objectType="CheckBox" lockText="1" noThreeD="1"/>
</file>

<file path=xl/ctrlProps/ctrlProp254.xml><?xml version="1.0" encoding="utf-8"?>
<formControlPr xmlns="http://schemas.microsoft.com/office/spreadsheetml/2009/9/main" objectType="CheckBox" lockText="1" noThreeD="1"/>
</file>

<file path=xl/ctrlProps/ctrlProp255.xml><?xml version="1.0" encoding="utf-8"?>
<formControlPr xmlns="http://schemas.microsoft.com/office/spreadsheetml/2009/9/main" objectType="CheckBox" fmlaLink="'Advanced METT questions+scores'!$A$32" noThreeD="1"/>
</file>

<file path=xl/ctrlProps/ctrlProp256.xml><?xml version="1.0" encoding="utf-8"?>
<formControlPr xmlns="http://schemas.microsoft.com/office/spreadsheetml/2009/9/main" objectType="CheckBox" lockText="1" noThreeD="1"/>
</file>

<file path=xl/ctrlProps/ctrlProp257.xml><?xml version="1.0" encoding="utf-8"?>
<formControlPr xmlns="http://schemas.microsoft.com/office/spreadsheetml/2009/9/main" objectType="CheckBox" lockText="1" noThreeD="1"/>
</file>

<file path=xl/ctrlProps/ctrlProp258.xml><?xml version="1.0" encoding="utf-8"?>
<formControlPr xmlns="http://schemas.microsoft.com/office/spreadsheetml/2009/9/main" objectType="CheckBox" lockText="1" noThreeD="1"/>
</file>

<file path=xl/ctrlProps/ctrlProp259.xml><?xml version="1.0" encoding="utf-8"?>
<formControlPr xmlns="http://schemas.microsoft.com/office/spreadsheetml/2009/9/main" objectType="CheckBox" lockText="1" noThreeD="1"/>
</file>

<file path=xl/ctrlProps/ctrlProp260.xml><?xml version="1.0" encoding="utf-8"?>
<formControlPr xmlns="http://schemas.microsoft.com/office/spreadsheetml/2009/9/main" objectType="CheckBox" lockText="1" noThreeD="1"/>
</file>

<file path=xl/ctrlProps/ctrlProp261.xml><?xml version="1.0" encoding="utf-8"?>
<formControlPr xmlns="http://schemas.microsoft.com/office/spreadsheetml/2009/9/main" objectType="CheckBox" lockText="1" noThreeD="1"/>
</file>

<file path=xl/ctrlProps/ctrlProp262.xml><?xml version="1.0" encoding="utf-8"?>
<formControlPr xmlns="http://schemas.microsoft.com/office/spreadsheetml/2009/9/main" objectType="CheckBox" lockText="1" noThreeD="1"/>
</file>

<file path=xl/ctrlProps/ctrlProp263.xml><?xml version="1.0" encoding="utf-8"?>
<formControlPr xmlns="http://schemas.microsoft.com/office/spreadsheetml/2009/9/main" objectType="CheckBox" lockText="1" noThreeD="1"/>
</file>

<file path=xl/ctrlProps/ctrlProp264.xml><?xml version="1.0" encoding="utf-8"?>
<formControlPr xmlns="http://schemas.microsoft.com/office/spreadsheetml/2009/9/main" objectType="CheckBox" fmlaLink="'Advanced METT questions+scores'!$A$33" noThreeD="1"/>
</file>

<file path=xl/ctrlProps/ctrlProp265.xml><?xml version="1.0" encoding="utf-8"?>
<formControlPr xmlns="http://schemas.microsoft.com/office/spreadsheetml/2009/9/main" objectType="CheckBox" lockText="1" noThreeD="1"/>
</file>

<file path=xl/ctrlProps/ctrlProp266.xml><?xml version="1.0" encoding="utf-8"?>
<formControlPr xmlns="http://schemas.microsoft.com/office/spreadsheetml/2009/9/main" objectType="CheckBox" lockText="1" noThreeD="1"/>
</file>

<file path=xl/ctrlProps/ctrlProp267.xml><?xml version="1.0" encoding="utf-8"?>
<formControlPr xmlns="http://schemas.microsoft.com/office/spreadsheetml/2009/9/main" objectType="CheckBox" lockText="1" noThreeD="1"/>
</file>

<file path=xl/ctrlProps/ctrlProp268.xml><?xml version="1.0" encoding="utf-8"?>
<formControlPr xmlns="http://schemas.microsoft.com/office/spreadsheetml/2009/9/main" objectType="CheckBox" lockText="1" noThreeD="1"/>
</file>

<file path=xl/ctrlProps/ctrlProp269.xml><?xml version="1.0" encoding="utf-8"?>
<formControlPr xmlns="http://schemas.microsoft.com/office/spreadsheetml/2009/9/main" objectType="CheckBox" lockText="1" noThreeD="1"/>
</file>

<file path=xl/ctrlProps/ctrlProp270.xml><?xml version="1.0" encoding="utf-8"?>
<formControlPr xmlns="http://schemas.microsoft.com/office/spreadsheetml/2009/9/main" objectType="CheckBox" lockText="1" noThreeD="1"/>
</file>

<file path=xl/ctrlProps/ctrlProp271.xml><?xml version="1.0" encoding="utf-8"?>
<formControlPr xmlns="http://schemas.microsoft.com/office/spreadsheetml/2009/9/main" objectType="CheckBox" lockText="1" noThreeD="1"/>
</file>

<file path=xl/ctrlProps/ctrlProp272.xml><?xml version="1.0" encoding="utf-8"?>
<formControlPr xmlns="http://schemas.microsoft.com/office/spreadsheetml/2009/9/main" objectType="CheckBox" lockText="1" noThreeD="1"/>
</file>

<file path=xl/ctrlProps/ctrlProp273.xml><?xml version="1.0" encoding="utf-8"?>
<formControlPr xmlns="http://schemas.microsoft.com/office/spreadsheetml/2009/9/main" objectType="CheckBox" fmlaLink="'Advanced METT questions+scores'!$A$34" noThreeD="1"/>
</file>

<file path=xl/ctrlProps/ctrlProp274.xml><?xml version="1.0" encoding="utf-8"?>
<formControlPr xmlns="http://schemas.microsoft.com/office/spreadsheetml/2009/9/main" objectType="CheckBox" lockText="1" noThreeD="1"/>
</file>

<file path=xl/ctrlProps/ctrlProp275.xml><?xml version="1.0" encoding="utf-8"?>
<formControlPr xmlns="http://schemas.microsoft.com/office/spreadsheetml/2009/9/main" objectType="CheckBox" lockText="1" noThreeD="1"/>
</file>

<file path=xl/ctrlProps/ctrlProp276.xml><?xml version="1.0" encoding="utf-8"?>
<formControlPr xmlns="http://schemas.microsoft.com/office/spreadsheetml/2009/9/main" objectType="CheckBox" lockText="1" noThreeD="1"/>
</file>

<file path=xl/ctrlProps/ctrlProp277.xml><?xml version="1.0" encoding="utf-8"?>
<formControlPr xmlns="http://schemas.microsoft.com/office/spreadsheetml/2009/9/main" objectType="CheckBox" lockText="1" noThreeD="1"/>
</file>

<file path=xl/ctrlProps/ctrlProp278.xml><?xml version="1.0" encoding="utf-8"?>
<formControlPr xmlns="http://schemas.microsoft.com/office/spreadsheetml/2009/9/main" objectType="CheckBox" lockText="1" noThreeD="1"/>
</file>

<file path=xl/ctrlProps/ctrlProp279.xml><?xml version="1.0" encoding="utf-8"?>
<formControlPr xmlns="http://schemas.microsoft.com/office/spreadsheetml/2009/9/main" objectType="CheckBox" lockText="1" noThreeD="1"/>
</file>

<file path=xl/ctrlProps/ctrlProp280.xml><?xml version="1.0" encoding="utf-8"?>
<formControlPr xmlns="http://schemas.microsoft.com/office/spreadsheetml/2009/9/main" objectType="CheckBox" lockText="1" noThreeD="1"/>
</file>

<file path=xl/ctrlProps/ctrlProp281.xml><?xml version="1.0" encoding="utf-8"?>
<formControlPr xmlns="http://schemas.microsoft.com/office/spreadsheetml/2009/9/main" objectType="CheckBox" lockText="1" noThreeD="1"/>
</file>

<file path=xl/ctrlProps/ctrlProp282.xml><?xml version="1.0" encoding="utf-8"?>
<formControlPr xmlns="http://schemas.microsoft.com/office/spreadsheetml/2009/9/main" objectType="CheckBox" fmlaLink="'Advanced METT questions+scores'!$A$35" noThreeD="1"/>
</file>

<file path=xl/ctrlProps/ctrlProp283.xml><?xml version="1.0" encoding="utf-8"?>
<formControlPr xmlns="http://schemas.microsoft.com/office/spreadsheetml/2009/9/main" objectType="CheckBox" lockText="1" noThreeD="1"/>
</file>

<file path=xl/ctrlProps/ctrlProp284.xml><?xml version="1.0" encoding="utf-8"?>
<formControlPr xmlns="http://schemas.microsoft.com/office/spreadsheetml/2009/9/main" objectType="CheckBox" lockText="1" noThreeD="1"/>
</file>

<file path=xl/ctrlProps/ctrlProp285.xml><?xml version="1.0" encoding="utf-8"?>
<formControlPr xmlns="http://schemas.microsoft.com/office/spreadsheetml/2009/9/main" objectType="CheckBox" lockText="1" noThreeD="1"/>
</file>

<file path=xl/ctrlProps/ctrlProp286.xml><?xml version="1.0" encoding="utf-8"?>
<formControlPr xmlns="http://schemas.microsoft.com/office/spreadsheetml/2009/9/main" objectType="CheckBox" lockText="1" noThreeD="1"/>
</file>

<file path=xl/ctrlProps/ctrlProp287.xml><?xml version="1.0" encoding="utf-8"?>
<formControlPr xmlns="http://schemas.microsoft.com/office/spreadsheetml/2009/9/main" objectType="CheckBox" lockText="1" noThreeD="1"/>
</file>

<file path=xl/ctrlProps/ctrlProp288.xml><?xml version="1.0" encoding="utf-8"?>
<formControlPr xmlns="http://schemas.microsoft.com/office/spreadsheetml/2009/9/main" objectType="CheckBox" lockText="1" noThreeD="1"/>
</file>

<file path=xl/ctrlProps/ctrlProp289.xml><?xml version="1.0" encoding="utf-8"?>
<formControlPr xmlns="http://schemas.microsoft.com/office/spreadsheetml/2009/9/main" objectType="CheckBox" lockText="1" noThreeD="1"/>
</file>

<file path=xl/ctrlProps/ctrlProp290.xml><?xml version="1.0" encoding="utf-8"?>
<formControlPr xmlns="http://schemas.microsoft.com/office/spreadsheetml/2009/9/main" objectType="CheckBox" lockText="1" noThreeD="1"/>
</file>

<file path=xl/ctrlProps/ctrlProp291.xml><?xml version="1.0" encoding="utf-8"?>
<formControlPr xmlns="http://schemas.microsoft.com/office/spreadsheetml/2009/9/main" objectType="CheckBox" fmlaLink="'Advanced METT questions+scores'!$A$36" noThreeD="1"/>
</file>

<file path=xl/ctrlProps/ctrlProp292.xml><?xml version="1.0" encoding="utf-8"?>
<formControlPr xmlns="http://schemas.microsoft.com/office/spreadsheetml/2009/9/main" objectType="CheckBox" lockText="1" noThreeD="1"/>
</file>

<file path=xl/ctrlProps/ctrlProp293.xml><?xml version="1.0" encoding="utf-8"?>
<formControlPr xmlns="http://schemas.microsoft.com/office/spreadsheetml/2009/9/main" objectType="CheckBox" lockText="1" noThreeD="1"/>
</file>

<file path=xl/ctrlProps/ctrlProp294.xml><?xml version="1.0" encoding="utf-8"?>
<formControlPr xmlns="http://schemas.microsoft.com/office/spreadsheetml/2009/9/main" objectType="CheckBox" lockText="1" noThreeD="1"/>
</file>

<file path=xl/ctrlProps/ctrlProp295.xml><?xml version="1.0" encoding="utf-8"?>
<formControlPr xmlns="http://schemas.microsoft.com/office/spreadsheetml/2009/9/main" objectType="CheckBox" lockText="1" noThreeD="1"/>
</file>

<file path=xl/ctrlProps/ctrlProp296.xml><?xml version="1.0" encoding="utf-8"?>
<formControlPr xmlns="http://schemas.microsoft.com/office/spreadsheetml/2009/9/main" objectType="CheckBox"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lockText="1" noThreeD="1"/>
</file>

<file path=xl/ctrlProps/ctrlProp299.xml><?xml version="1.0" encoding="utf-8"?>
<formControlPr xmlns="http://schemas.microsoft.com/office/spreadsheetml/2009/9/main" objectType="CheckBox" lockText="1" noThreeD="1"/>
</file>

<file path=xl/ctrlProps/ctrlProp300.xml><?xml version="1.0" encoding="utf-8"?>
<formControlPr xmlns="http://schemas.microsoft.com/office/spreadsheetml/2009/9/main" objectType="CheckBox" fmlaLink="'Advanced METT questions+scores'!$A$37" noThreeD="1"/>
</file>

<file path=xl/ctrlProps/ctrlProp301.xml><?xml version="1.0" encoding="utf-8"?>
<formControlPr xmlns="http://schemas.microsoft.com/office/spreadsheetml/2009/9/main" objectType="CheckBox" lockText="1" noThreeD="1"/>
</file>

<file path=xl/ctrlProps/ctrlProp302.xml><?xml version="1.0" encoding="utf-8"?>
<formControlPr xmlns="http://schemas.microsoft.com/office/spreadsheetml/2009/9/main" objectType="CheckBox" lockText="1" noThreeD="1"/>
</file>

<file path=xl/ctrlProps/ctrlProp303.xml><?xml version="1.0" encoding="utf-8"?>
<formControlPr xmlns="http://schemas.microsoft.com/office/spreadsheetml/2009/9/main" objectType="CheckBox" lockText="1" noThreeD="1"/>
</file>

<file path=xl/ctrlProps/ctrlProp304.xml><?xml version="1.0" encoding="utf-8"?>
<formControlPr xmlns="http://schemas.microsoft.com/office/spreadsheetml/2009/9/main" objectType="CheckBox" lockText="1" noThreeD="1"/>
</file>

<file path=xl/ctrlProps/ctrlProp305.xml><?xml version="1.0" encoding="utf-8"?>
<formControlPr xmlns="http://schemas.microsoft.com/office/spreadsheetml/2009/9/main" objectType="CheckBox" lockText="1" noThreeD="1"/>
</file>

<file path=xl/ctrlProps/ctrlProp306.xml><?xml version="1.0" encoding="utf-8"?>
<formControlPr xmlns="http://schemas.microsoft.com/office/spreadsheetml/2009/9/main" objectType="CheckBox" lockText="1" noThreeD="1"/>
</file>

<file path=xl/ctrlProps/ctrlProp307.xml><?xml version="1.0" encoding="utf-8"?>
<formControlPr xmlns="http://schemas.microsoft.com/office/spreadsheetml/2009/9/main" objectType="CheckBox" lockText="1" noThreeD="1"/>
</file>

<file path=xl/ctrlProps/ctrlProp308.xml><?xml version="1.0" encoding="utf-8"?>
<formControlPr xmlns="http://schemas.microsoft.com/office/spreadsheetml/2009/9/main" objectType="CheckBox" lockText="1" noThreeD="1"/>
</file>

<file path=xl/ctrlProps/ctrlProp309.xml><?xml version="1.0" encoding="utf-8"?>
<formControlPr xmlns="http://schemas.microsoft.com/office/spreadsheetml/2009/9/main" objectType="CheckBox" fmlaLink="'Advanced METT questions+scores'!$A$38" noThreeD="1"/>
</file>

<file path=xl/ctrlProps/ctrlProp310.xml><?xml version="1.0" encoding="utf-8"?>
<formControlPr xmlns="http://schemas.microsoft.com/office/spreadsheetml/2009/9/main" objectType="CheckBox" lockText="1" noThreeD="1"/>
</file>

<file path=xl/ctrlProps/ctrlProp311.xml><?xml version="1.0" encoding="utf-8"?>
<formControlPr xmlns="http://schemas.microsoft.com/office/spreadsheetml/2009/9/main" objectType="CheckBox" lockText="1" noThreeD="1"/>
</file>

<file path=xl/ctrlProps/ctrlProp312.xml><?xml version="1.0" encoding="utf-8"?>
<formControlPr xmlns="http://schemas.microsoft.com/office/spreadsheetml/2009/9/main" objectType="CheckBox" lockText="1" noThreeD="1"/>
</file>

<file path=xl/ctrlProps/ctrlProp313.xml><?xml version="1.0" encoding="utf-8"?>
<formControlPr xmlns="http://schemas.microsoft.com/office/spreadsheetml/2009/9/main" objectType="CheckBox" lockText="1" noThreeD="1"/>
</file>

<file path=xl/ctrlProps/ctrlProp314.xml><?xml version="1.0" encoding="utf-8"?>
<formControlPr xmlns="http://schemas.microsoft.com/office/spreadsheetml/2009/9/main" objectType="CheckBox" lockText="1" noThreeD="1"/>
</file>

<file path=xl/ctrlProps/ctrlProp315.xml><?xml version="1.0" encoding="utf-8"?>
<formControlPr xmlns="http://schemas.microsoft.com/office/spreadsheetml/2009/9/main" objectType="CheckBox" lockText="1" noThreeD="1"/>
</file>

<file path=xl/ctrlProps/ctrlProp316.xml><?xml version="1.0" encoding="utf-8"?>
<formControlPr xmlns="http://schemas.microsoft.com/office/spreadsheetml/2009/9/main" objectType="CheckBox" lockText="1" noThreeD="1"/>
</file>

<file path=xl/ctrlProps/ctrlProp317.xml><?xml version="1.0" encoding="utf-8"?>
<formControlPr xmlns="http://schemas.microsoft.com/office/spreadsheetml/2009/9/main" objectType="CheckBox" lockText="1" noThreeD="1"/>
</file>

<file path=xl/ctrlProps/ctrlProp318.xml><?xml version="1.0" encoding="utf-8"?>
<formControlPr xmlns="http://schemas.microsoft.com/office/spreadsheetml/2009/9/main" objectType="CheckBox" lockText="1" noThreeD="1"/>
</file>

<file path=xl/ctrlProps/ctrlProp319.xml><?xml version="1.0" encoding="utf-8"?>
<formControlPr xmlns="http://schemas.microsoft.com/office/spreadsheetml/2009/9/main" objectType="CheckBox" lockText="1" noThreeD="1"/>
</file>

<file path=xl/ctrlProps/ctrlProp320.xml><?xml version="1.0" encoding="utf-8"?>
<formControlPr xmlns="http://schemas.microsoft.com/office/spreadsheetml/2009/9/main" objectType="CheckBox" lockText="1" noThreeD="1"/>
</file>

<file path=xl/ctrlProps/ctrlProp321.xml><?xml version="1.0" encoding="utf-8"?>
<formControlPr xmlns="http://schemas.microsoft.com/office/spreadsheetml/2009/9/main" objectType="CheckBox" fmlaLink="'Advanced METT questions+scores'!$A$39" noThreeD="1"/>
</file>

<file path=xl/ctrlProps/ctrlProp322.xml><?xml version="1.0" encoding="utf-8"?>
<formControlPr xmlns="http://schemas.microsoft.com/office/spreadsheetml/2009/9/main" objectType="CheckBox" lockText="1" noThreeD="1"/>
</file>

<file path=xl/ctrlProps/ctrlProp323.xml><?xml version="1.0" encoding="utf-8"?>
<formControlPr xmlns="http://schemas.microsoft.com/office/spreadsheetml/2009/9/main" objectType="CheckBox" lockText="1" noThreeD="1"/>
</file>

<file path=xl/ctrlProps/ctrlProp324.xml><?xml version="1.0" encoding="utf-8"?>
<formControlPr xmlns="http://schemas.microsoft.com/office/spreadsheetml/2009/9/main" objectType="CheckBox" lockText="1" noThreeD="1"/>
</file>

<file path=xl/ctrlProps/ctrlProp325.xml><?xml version="1.0" encoding="utf-8"?>
<formControlPr xmlns="http://schemas.microsoft.com/office/spreadsheetml/2009/9/main" objectType="CheckBox" lockText="1" noThreeD="1"/>
</file>

<file path=xl/ctrlProps/ctrlProp326.xml><?xml version="1.0" encoding="utf-8"?>
<formControlPr xmlns="http://schemas.microsoft.com/office/spreadsheetml/2009/9/main" objectType="CheckBox" lockText="1" noThreeD="1"/>
</file>

<file path=xl/ctrlProps/ctrlProp327.xml><?xml version="1.0" encoding="utf-8"?>
<formControlPr xmlns="http://schemas.microsoft.com/office/spreadsheetml/2009/9/main" objectType="CheckBox" lockText="1" noThreeD="1"/>
</file>

<file path=xl/ctrlProps/ctrlProp328.xml><?xml version="1.0" encoding="utf-8"?>
<formControlPr xmlns="http://schemas.microsoft.com/office/spreadsheetml/2009/9/main" objectType="CheckBox" lockText="1" noThreeD="1"/>
</file>

<file path=xl/ctrlProps/ctrlProp329.xml><?xml version="1.0" encoding="utf-8"?>
<formControlPr xmlns="http://schemas.microsoft.com/office/spreadsheetml/2009/9/main" objectType="CheckBox" lockText="1" noThreeD="1"/>
</file>

<file path=xl/ctrlProps/ctrlProp330.xml><?xml version="1.0" encoding="utf-8"?>
<formControlPr xmlns="http://schemas.microsoft.com/office/spreadsheetml/2009/9/main" objectType="CheckBox" fmlaLink="'Advanced METT questions+scores'!$A$40" noThreeD="1"/>
</file>

<file path=xl/ctrlProps/ctrlProp331.xml><?xml version="1.0" encoding="utf-8"?>
<formControlPr xmlns="http://schemas.microsoft.com/office/spreadsheetml/2009/9/main" objectType="CheckBox" lockText="1" noThreeD="1"/>
</file>

<file path=xl/ctrlProps/ctrlProp332.xml><?xml version="1.0" encoding="utf-8"?>
<formControlPr xmlns="http://schemas.microsoft.com/office/spreadsheetml/2009/9/main" objectType="CheckBox" lockText="1" noThreeD="1"/>
</file>

<file path=xl/ctrlProps/ctrlProp333.xml><?xml version="1.0" encoding="utf-8"?>
<formControlPr xmlns="http://schemas.microsoft.com/office/spreadsheetml/2009/9/main" objectType="CheckBox" lockText="1" noThreeD="1"/>
</file>

<file path=xl/ctrlProps/ctrlProp334.xml><?xml version="1.0" encoding="utf-8"?>
<formControlPr xmlns="http://schemas.microsoft.com/office/spreadsheetml/2009/9/main" objectType="CheckBox" lockText="1" noThreeD="1"/>
</file>

<file path=xl/ctrlProps/ctrlProp335.xml><?xml version="1.0" encoding="utf-8"?>
<formControlPr xmlns="http://schemas.microsoft.com/office/spreadsheetml/2009/9/main" objectType="CheckBox" lockText="1" noThreeD="1"/>
</file>

<file path=xl/ctrlProps/ctrlProp336.xml><?xml version="1.0" encoding="utf-8"?>
<formControlPr xmlns="http://schemas.microsoft.com/office/spreadsheetml/2009/9/main" objectType="CheckBox" lockText="1" noThreeD="1"/>
</file>

<file path=xl/ctrlProps/ctrlProp337.xml><?xml version="1.0" encoding="utf-8"?>
<formControlPr xmlns="http://schemas.microsoft.com/office/spreadsheetml/2009/9/main" objectType="CheckBox" lockText="1" noThreeD="1"/>
</file>

<file path=xl/ctrlProps/ctrlProp338.xml><?xml version="1.0" encoding="utf-8"?>
<formControlPr xmlns="http://schemas.microsoft.com/office/spreadsheetml/2009/9/main" objectType="CheckBox" lockText="1" noThreeD="1"/>
</file>

<file path=xl/ctrlProps/ctrlProp339.xml><?xml version="1.0" encoding="utf-8"?>
<formControlPr xmlns="http://schemas.microsoft.com/office/spreadsheetml/2009/9/main" objectType="CheckBox" fmlaLink="'Advanced METT questions+scores'!$A$41" noThreeD="1"/>
</file>

<file path=xl/ctrlProps/ctrlProp340.xml><?xml version="1.0" encoding="utf-8"?>
<formControlPr xmlns="http://schemas.microsoft.com/office/spreadsheetml/2009/9/main" objectType="CheckBox" lockText="1" noThreeD="1"/>
</file>

<file path=xl/ctrlProps/ctrlProp341.xml><?xml version="1.0" encoding="utf-8"?>
<formControlPr xmlns="http://schemas.microsoft.com/office/spreadsheetml/2009/9/main" objectType="CheckBox" lockText="1" noThreeD="1"/>
</file>

<file path=xl/ctrlProps/ctrlProp342.xml><?xml version="1.0" encoding="utf-8"?>
<formControlPr xmlns="http://schemas.microsoft.com/office/spreadsheetml/2009/9/main" objectType="CheckBox" lockText="1" noThreeD="1"/>
</file>

<file path=xl/ctrlProps/ctrlProp343.xml><?xml version="1.0" encoding="utf-8"?>
<formControlPr xmlns="http://schemas.microsoft.com/office/spreadsheetml/2009/9/main" objectType="CheckBox" lockText="1" noThreeD="1"/>
</file>

<file path=xl/ctrlProps/ctrlProp344.xml><?xml version="1.0" encoding="utf-8"?>
<formControlPr xmlns="http://schemas.microsoft.com/office/spreadsheetml/2009/9/main" objectType="CheckBox" lockText="1" noThreeD="1"/>
</file>

<file path=xl/ctrlProps/ctrlProp345.xml><?xml version="1.0" encoding="utf-8"?>
<formControlPr xmlns="http://schemas.microsoft.com/office/spreadsheetml/2009/9/main" objectType="CheckBox" lockText="1" noThreeD="1"/>
</file>

<file path=xl/ctrlProps/ctrlProp346.xml><?xml version="1.0" encoding="utf-8"?>
<formControlPr xmlns="http://schemas.microsoft.com/office/spreadsheetml/2009/9/main" objectType="CheckBox" lockText="1" noThreeD="1"/>
</file>

<file path=xl/ctrlProps/ctrlProp347.xml><?xml version="1.0" encoding="utf-8"?>
<formControlPr xmlns="http://schemas.microsoft.com/office/spreadsheetml/2009/9/main" objectType="CheckBox" lockText="1" noThreeD="1"/>
</file>

<file path=xl/ctrlProps/ctrlProp348.xml><?xml version="1.0" encoding="utf-8"?>
<formControlPr xmlns="http://schemas.microsoft.com/office/spreadsheetml/2009/9/main" objectType="CheckBox" fmlaLink="'Advanced METT questions+scores'!$A$42" noThreeD="1"/>
</file>

<file path=xl/ctrlProps/ctrlProp349.xml><?xml version="1.0" encoding="utf-8"?>
<formControlPr xmlns="http://schemas.microsoft.com/office/spreadsheetml/2009/9/main" objectType="CheckBox" lockText="1" noThreeD="1"/>
</file>

<file path=xl/ctrlProps/ctrlProp350.xml><?xml version="1.0" encoding="utf-8"?>
<formControlPr xmlns="http://schemas.microsoft.com/office/spreadsheetml/2009/9/main" objectType="CheckBox" lockText="1" noThreeD="1"/>
</file>

<file path=xl/ctrlProps/ctrlProp351.xml><?xml version="1.0" encoding="utf-8"?>
<formControlPr xmlns="http://schemas.microsoft.com/office/spreadsheetml/2009/9/main" objectType="CheckBox" lockText="1" noThreeD="1"/>
</file>

<file path=xl/ctrlProps/ctrlProp352.xml><?xml version="1.0" encoding="utf-8"?>
<formControlPr xmlns="http://schemas.microsoft.com/office/spreadsheetml/2009/9/main" objectType="CheckBox" lockText="1" noThreeD="1"/>
</file>

<file path=xl/ctrlProps/ctrlProp353.xml><?xml version="1.0" encoding="utf-8"?>
<formControlPr xmlns="http://schemas.microsoft.com/office/spreadsheetml/2009/9/main" objectType="CheckBox" lockText="1" noThreeD="1"/>
</file>

<file path=xl/ctrlProps/ctrlProp354.xml><?xml version="1.0" encoding="utf-8"?>
<formControlPr xmlns="http://schemas.microsoft.com/office/spreadsheetml/2009/9/main" objectType="CheckBox" lockText="1" noThreeD="1"/>
</file>

<file path=xl/ctrlProps/ctrlProp355.xml><?xml version="1.0" encoding="utf-8"?>
<formControlPr xmlns="http://schemas.microsoft.com/office/spreadsheetml/2009/9/main" objectType="CheckBox" lockText="1" noThreeD="1"/>
</file>

<file path=xl/ctrlProps/ctrlProp356.xml><?xml version="1.0" encoding="utf-8"?>
<formControlPr xmlns="http://schemas.microsoft.com/office/spreadsheetml/2009/9/main" objectType="CheckBox" lockText="1" noThreeD="1"/>
</file>

<file path=xl/ctrlProps/ctrlProp357.xml><?xml version="1.0" encoding="utf-8"?>
<formControlPr xmlns="http://schemas.microsoft.com/office/spreadsheetml/2009/9/main" objectType="CheckBox" fmlaLink="'Advanced METT questions+scores'!$A$43" noThreeD="1"/>
</file>

<file path=xl/ctrlProps/ctrlProp358.xml><?xml version="1.0" encoding="utf-8"?>
<formControlPr xmlns="http://schemas.microsoft.com/office/spreadsheetml/2009/9/main" objectType="CheckBox" lockText="1" noThreeD="1"/>
</file>

<file path=xl/ctrlProps/ctrlProp359.xml><?xml version="1.0" encoding="utf-8"?>
<formControlPr xmlns="http://schemas.microsoft.com/office/spreadsheetml/2009/9/main" objectType="CheckBox" lockText="1" noThreeD="1"/>
</file>

<file path=xl/ctrlProps/ctrlProp360.xml><?xml version="1.0" encoding="utf-8"?>
<formControlPr xmlns="http://schemas.microsoft.com/office/spreadsheetml/2009/9/main" objectType="CheckBox" lockText="1" noThreeD="1"/>
</file>

<file path=xl/ctrlProps/ctrlProp361.xml><?xml version="1.0" encoding="utf-8"?>
<formControlPr xmlns="http://schemas.microsoft.com/office/spreadsheetml/2009/9/main" objectType="CheckBox" lockText="1" noThreeD="1"/>
</file>

<file path=xl/ctrlProps/ctrlProp362.xml><?xml version="1.0" encoding="utf-8"?>
<formControlPr xmlns="http://schemas.microsoft.com/office/spreadsheetml/2009/9/main" objectType="CheckBox" lockText="1" noThreeD="1"/>
</file>

<file path=xl/ctrlProps/ctrlProp363.xml><?xml version="1.0" encoding="utf-8"?>
<formControlPr xmlns="http://schemas.microsoft.com/office/spreadsheetml/2009/9/main" objectType="CheckBox" lockText="1" noThreeD="1"/>
</file>

<file path=xl/ctrlProps/ctrlProp364.xml><?xml version="1.0" encoding="utf-8"?>
<formControlPr xmlns="http://schemas.microsoft.com/office/spreadsheetml/2009/9/main" objectType="CheckBox" lockText="1" noThreeD="1"/>
</file>

<file path=xl/ctrlProps/ctrlProp365.xml><?xml version="1.0" encoding="utf-8"?>
<formControlPr xmlns="http://schemas.microsoft.com/office/spreadsheetml/2009/9/main" objectType="CheckBox" lockText="1" noThreeD="1"/>
</file>

<file path=xl/ctrlProps/ctrlProp366.xml><?xml version="1.0" encoding="utf-8"?>
<formControlPr xmlns="http://schemas.microsoft.com/office/spreadsheetml/2009/9/main" objectType="CheckBox" fmlaLink="'Advanced METT questions+scores'!$A$44" noThreeD="1"/>
</file>

<file path=xl/ctrlProps/ctrlProp367.xml><?xml version="1.0" encoding="utf-8"?>
<formControlPr xmlns="http://schemas.microsoft.com/office/spreadsheetml/2009/9/main" objectType="CheckBox" lockText="1" noThreeD="1"/>
</file>

<file path=xl/ctrlProps/ctrlProp368.xml><?xml version="1.0" encoding="utf-8"?>
<formControlPr xmlns="http://schemas.microsoft.com/office/spreadsheetml/2009/9/main" objectType="CheckBox" lockText="1" noThreeD="1"/>
</file>

<file path=xl/ctrlProps/ctrlProp369.xml><?xml version="1.0" encoding="utf-8"?>
<formControlPr xmlns="http://schemas.microsoft.com/office/spreadsheetml/2009/9/main" objectType="CheckBox" lockText="1" noThreeD="1"/>
</file>

<file path=xl/ctrlProps/ctrlProp370.xml><?xml version="1.0" encoding="utf-8"?>
<formControlPr xmlns="http://schemas.microsoft.com/office/spreadsheetml/2009/9/main" objectType="CheckBox" lockText="1" noThreeD="1"/>
</file>

<file path=xl/ctrlProps/ctrlProp371.xml><?xml version="1.0" encoding="utf-8"?>
<formControlPr xmlns="http://schemas.microsoft.com/office/spreadsheetml/2009/9/main" objectType="CheckBox" lockText="1" noThreeD="1"/>
</file>

<file path=xl/ctrlProps/ctrlProp372.xml><?xml version="1.0" encoding="utf-8"?>
<formControlPr xmlns="http://schemas.microsoft.com/office/spreadsheetml/2009/9/main" objectType="CheckBox" lockText="1" noThreeD="1"/>
</file>

<file path=xl/ctrlProps/ctrlProp373.xml><?xml version="1.0" encoding="utf-8"?>
<formControlPr xmlns="http://schemas.microsoft.com/office/spreadsheetml/2009/9/main" objectType="CheckBox" lockText="1" noThreeD="1"/>
</file>

<file path=xl/ctrlProps/ctrlProp374.xml><?xml version="1.0" encoding="utf-8"?>
<formControlPr xmlns="http://schemas.microsoft.com/office/spreadsheetml/2009/9/main" objectType="CheckBox" lockText="1" noThreeD="1"/>
</file>

<file path=xl/ctrlProps/ctrlProp375.xml><?xml version="1.0" encoding="utf-8"?>
<formControlPr xmlns="http://schemas.microsoft.com/office/spreadsheetml/2009/9/main" objectType="CheckBox" fmlaLink="'Advanced METT questions+scores'!$A$45" noThreeD="1"/>
</file>

<file path=xl/ctrlProps/ctrlProp376.xml><?xml version="1.0" encoding="utf-8"?>
<formControlPr xmlns="http://schemas.microsoft.com/office/spreadsheetml/2009/9/main" objectType="CheckBox" lockText="1" noThreeD="1"/>
</file>

<file path=xl/ctrlProps/ctrlProp377.xml><?xml version="1.0" encoding="utf-8"?>
<formControlPr xmlns="http://schemas.microsoft.com/office/spreadsheetml/2009/9/main" objectType="CheckBox" lockText="1" noThreeD="1"/>
</file>

<file path=xl/ctrlProps/ctrlProp378.xml><?xml version="1.0" encoding="utf-8"?>
<formControlPr xmlns="http://schemas.microsoft.com/office/spreadsheetml/2009/9/main" objectType="CheckBox" lockText="1" noThreeD="1"/>
</file>

<file path=xl/ctrlProps/ctrlProp379.xml><?xml version="1.0" encoding="utf-8"?>
<formControlPr xmlns="http://schemas.microsoft.com/office/spreadsheetml/2009/9/main" objectType="CheckBox" lockText="1" noThreeD="1"/>
</file>

<file path=xl/ctrlProps/ctrlProp380.xml><?xml version="1.0" encoding="utf-8"?>
<formControlPr xmlns="http://schemas.microsoft.com/office/spreadsheetml/2009/9/main" objectType="CheckBox" lockText="1" noThreeD="1"/>
</file>

<file path=xl/ctrlProps/ctrlProp381.xml><?xml version="1.0" encoding="utf-8"?>
<formControlPr xmlns="http://schemas.microsoft.com/office/spreadsheetml/2009/9/main" objectType="CheckBox" lockText="1" noThreeD="1"/>
</file>

<file path=xl/ctrlProps/ctrlProp382.xml><?xml version="1.0" encoding="utf-8"?>
<formControlPr xmlns="http://schemas.microsoft.com/office/spreadsheetml/2009/9/main" objectType="CheckBox" lockText="1" noThreeD="1"/>
</file>

<file path=xl/ctrlProps/ctrlProp383.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7</xdr:col>
      <xdr:colOff>799042</xdr:colOff>
      <xdr:row>15</xdr:row>
      <xdr:rowOff>270936</xdr:rowOff>
    </xdr:from>
    <xdr:to>
      <xdr:col>12</xdr:col>
      <xdr:colOff>0</xdr:colOff>
      <xdr:row>33</xdr:row>
      <xdr:rowOff>65619</xdr:rowOff>
    </xdr:to>
    <xdr:graphicFrame macro="">
      <xdr:nvGraphicFramePr>
        <xdr:cNvPr id="5" name="Diagramm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3</xdr:col>
      <xdr:colOff>9525</xdr:colOff>
      <xdr:row>0</xdr:row>
      <xdr:rowOff>176924</xdr:rowOff>
    </xdr:to>
    <xdr:pic>
      <xdr:nvPicPr>
        <xdr:cNvPr id="2" name="Picture 1" descr="GEF logo new.jpg">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9563100" y="0"/>
          <a:ext cx="9525" cy="176924"/>
        </a:xfrm>
        <a:prstGeom prst="rect">
          <a:avLst/>
        </a:prstGeom>
        <a:noFill/>
        <a:ln w="9525">
          <a:noFill/>
          <a:miter lim="800000"/>
          <a:headEnd/>
          <a:tailEnd/>
        </a:ln>
      </xdr:spPr>
    </xdr:pic>
    <xdr:clientData/>
  </xdr:twoCellAnchor>
  <xdr:twoCellAnchor editAs="oneCell">
    <xdr:from>
      <xdr:col>3</xdr:col>
      <xdr:colOff>0</xdr:colOff>
      <xdr:row>0</xdr:row>
      <xdr:rowOff>0</xdr:rowOff>
    </xdr:from>
    <xdr:to>
      <xdr:col>3</xdr:col>
      <xdr:colOff>0</xdr:colOff>
      <xdr:row>1</xdr:row>
      <xdr:rowOff>598</xdr:rowOff>
    </xdr:to>
    <xdr:pic>
      <xdr:nvPicPr>
        <xdr:cNvPr id="3" name="Picture 2" descr="GEF logo new.jpg">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rcRect/>
        <a:stretch>
          <a:fillRect/>
        </a:stretch>
      </xdr:blipFill>
      <xdr:spPr bwMode="auto">
        <a:xfrm>
          <a:off x="9563100" y="0"/>
          <a:ext cx="0" cy="265605"/>
        </a:xfrm>
        <a:prstGeom prst="rect">
          <a:avLst/>
        </a:prstGeom>
        <a:noFill/>
        <a:ln w="9525">
          <a:noFill/>
          <a:miter lim="800000"/>
          <a:headEnd/>
          <a:tailEnd/>
        </a:ln>
      </xdr:spPr>
    </xdr:pic>
    <xdr:clientData/>
  </xdr:twoCellAnchor>
  <xdr:twoCellAnchor editAs="oneCell">
    <xdr:from>
      <xdr:col>0</xdr:col>
      <xdr:colOff>2743200</xdr:colOff>
      <xdr:row>0</xdr:row>
      <xdr:rowOff>0</xdr:rowOff>
    </xdr:from>
    <xdr:to>
      <xdr:col>0</xdr:col>
      <xdr:colOff>2743200</xdr:colOff>
      <xdr:row>1</xdr:row>
      <xdr:rowOff>598</xdr:rowOff>
    </xdr:to>
    <xdr:pic>
      <xdr:nvPicPr>
        <xdr:cNvPr id="4" name="Picture 3" descr="GEF logo new.jpg">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cstate="print"/>
        <a:srcRect/>
        <a:stretch>
          <a:fillRect/>
        </a:stretch>
      </xdr:blipFill>
      <xdr:spPr bwMode="auto">
        <a:xfrm>
          <a:off x="2984500" y="0"/>
          <a:ext cx="0" cy="265605"/>
        </a:xfrm>
        <a:prstGeom prst="rect">
          <a:avLst/>
        </a:prstGeom>
        <a:noFill/>
        <a:ln w="9525">
          <a:noFill/>
          <a:miter lim="800000"/>
          <a:headEnd/>
          <a:tailEnd/>
        </a:ln>
      </xdr:spPr>
    </xdr:pic>
    <xdr:clientData/>
  </xdr:twoCellAnchor>
  <xdr:twoCellAnchor editAs="oneCell">
    <xdr:from>
      <xdr:col>0</xdr:col>
      <xdr:colOff>2743200</xdr:colOff>
      <xdr:row>0</xdr:row>
      <xdr:rowOff>0</xdr:rowOff>
    </xdr:from>
    <xdr:to>
      <xdr:col>0</xdr:col>
      <xdr:colOff>2743200</xdr:colOff>
      <xdr:row>1</xdr:row>
      <xdr:rowOff>50800</xdr:rowOff>
    </xdr:to>
    <xdr:pic>
      <xdr:nvPicPr>
        <xdr:cNvPr id="5" name="Picture 3" descr="GEF logo new.jpg">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3" cstate="print"/>
        <a:srcRect/>
        <a:stretch>
          <a:fillRect/>
        </a:stretch>
      </xdr:blipFill>
      <xdr:spPr bwMode="auto">
        <a:xfrm>
          <a:off x="2984500" y="0"/>
          <a:ext cx="0" cy="31750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2590800</xdr:colOff>
          <xdr:row>1</xdr:row>
          <xdr:rowOff>449580</xdr:rowOff>
        </xdr:from>
        <xdr:to>
          <xdr:col>1</xdr:col>
          <xdr:colOff>3002280</xdr:colOff>
          <xdr:row>3</xdr:row>
          <xdr:rowOff>19050</xdr:rowOff>
        </xdr:to>
        <xdr:sp macro="" textlink="">
          <xdr:nvSpPr>
            <xdr:cNvPr id="45058" name="Check Box 2" hidden="1">
              <a:extLst>
                <a:ext uri="{63B3BB69-23CF-44E3-9099-C40C66FF867C}">
                  <a14:compatExt spid="_x0000_s45058"/>
                </a:ext>
                <a:ext uri="{FF2B5EF4-FFF2-40B4-BE49-F238E27FC236}">
                  <a16:creationId xmlns:a16="http://schemas.microsoft.com/office/drawing/2014/main" id="{00000000-0008-0000-0500-00000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190500</xdr:rowOff>
        </xdr:from>
        <xdr:to>
          <xdr:col>0</xdr:col>
          <xdr:colOff>963930</xdr:colOff>
          <xdr:row>25</xdr:row>
          <xdr:rowOff>0</xdr:rowOff>
        </xdr:to>
        <xdr:sp macro="" textlink="">
          <xdr:nvSpPr>
            <xdr:cNvPr id="45059" name="Check Box 3" hidden="1">
              <a:extLst>
                <a:ext uri="{63B3BB69-23CF-44E3-9099-C40C66FF867C}">
                  <a14:compatExt spid="_x0000_s45059"/>
                </a:ext>
                <a:ext uri="{FF2B5EF4-FFF2-40B4-BE49-F238E27FC236}">
                  <a16:creationId xmlns:a16="http://schemas.microsoft.com/office/drawing/2014/main" id="{00000000-0008-0000-0500-00000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182880</xdr:rowOff>
        </xdr:from>
        <xdr:to>
          <xdr:col>0</xdr:col>
          <xdr:colOff>906780</xdr:colOff>
          <xdr:row>26</xdr:row>
          <xdr:rowOff>0</xdr:rowOff>
        </xdr:to>
        <xdr:sp macro="" textlink="">
          <xdr:nvSpPr>
            <xdr:cNvPr id="45060" name="Check Box 4" hidden="1">
              <a:extLst>
                <a:ext uri="{63B3BB69-23CF-44E3-9099-C40C66FF867C}">
                  <a14:compatExt spid="_x0000_s45060"/>
                </a:ext>
                <a:ext uri="{FF2B5EF4-FFF2-40B4-BE49-F238E27FC236}">
                  <a16:creationId xmlns:a16="http://schemas.microsoft.com/office/drawing/2014/main" id="{00000000-0008-0000-0500-00000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1</xdr:col>
          <xdr:colOff>392430</xdr:colOff>
          <xdr:row>27</xdr:row>
          <xdr:rowOff>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500-000005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500-000006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11430</xdr:rowOff>
        </xdr:from>
        <xdr:to>
          <xdr:col>0</xdr:col>
          <xdr:colOff>800100</xdr:colOff>
          <xdr:row>29</xdr:row>
          <xdr:rowOff>19050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500-000007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201930</xdr:rowOff>
        </xdr:from>
        <xdr:to>
          <xdr:col>0</xdr:col>
          <xdr:colOff>1097280</xdr:colOff>
          <xdr:row>30</xdr:row>
          <xdr:rowOff>19050</xdr:rowOff>
        </xdr:to>
        <xdr:sp macro="" textlink="">
          <xdr:nvSpPr>
            <xdr:cNvPr id="45064" name="Check Box 8" hidden="1">
              <a:extLst>
                <a:ext uri="{63B3BB69-23CF-44E3-9099-C40C66FF867C}">
                  <a14:compatExt spid="_x0000_s45064"/>
                </a:ext>
                <a:ext uri="{FF2B5EF4-FFF2-40B4-BE49-F238E27FC236}">
                  <a16:creationId xmlns:a16="http://schemas.microsoft.com/office/drawing/2014/main" id="{00000000-0008-0000-0500-000008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1123950</xdr:colOff>
          <xdr:row>31</xdr:row>
          <xdr:rowOff>11430</xdr:rowOff>
        </xdr:to>
        <xdr:sp macro="" textlink="">
          <xdr:nvSpPr>
            <xdr:cNvPr id="45065" name="Check Box 9" hidden="1">
              <a:extLst>
                <a:ext uri="{63B3BB69-23CF-44E3-9099-C40C66FF867C}">
                  <a14:compatExt spid="_x0000_s45065"/>
                </a:ext>
                <a:ext uri="{FF2B5EF4-FFF2-40B4-BE49-F238E27FC236}">
                  <a16:creationId xmlns:a16="http://schemas.microsoft.com/office/drawing/2014/main" id="{00000000-0008-0000-0500-00000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857250</xdr:colOff>
          <xdr:row>32</xdr:row>
          <xdr:rowOff>11430</xdr:rowOff>
        </xdr:to>
        <xdr:sp macro="" textlink="">
          <xdr:nvSpPr>
            <xdr:cNvPr id="45066" name="Check Box 10" hidden="1">
              <a:extLst>
                <a:ext uri="{63B3BB69-23CF-44E3-9099-C40C66FF867C}">
                  <a14:compatExt spid="_x0000_s45066"/>
                </a:ext>
                <a:ext uri="{FF2B5EF4-FFF2-40B4-BE49-F238E27FC236}">
                  <a16:creationId xmlns:a16="http://schemas.microsoft.com/office/drawing/2014/main" id="{00000000-0008-0000-0500-00000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190500</xdr:rowOff>
        </xdr:from>
        <xdr:to>
          <xdr:col>0</xdr:col>
          <xdr:colOff>963930</xdr:colOff>
          <xdr:row>25</xdr:row>
          <xdr:rowOff>0</xdr:rowOff>
        </xdr:to>
        <xdr:sp macro="" textlink="">
          <xdr:nvSpPr>
            <xdr:cNvPr id="45075" name="Check Box 19" hidden="1">
              <a:extLst>
                <a:ext uri="{63B3BB69-23CF-44E3-9099-C40C66FF867C}">
                  <a14:compatExt spid="_x0000_s45075"/>
                </a:ext>
                <a:ext uri="{FF2B5EF4-FFF2-40B4-BE49-F238E27FC236}">
                  <a16:creationId xmlns:a16="http://schemas.microsoft.com/office/drawing/2014/main" id="{00000000-0008-0000-0500-00001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182880</xdr:rowOff>
        </xdr:from>
        <xdr:to>
          <xdr:col>0</xdr:col>
          <xdr:colOff>906780</xdr:colOff>
          <xdr:row>26</xdr:row>
          <xdr:rowOff>0</xdr:rowOff>
        </xdr:to>
        <xdr:sp macro="" textlink="">
          <xdr:nvSpPr>
            <xdr:cNvPr id="45076" name="Check Box 20" hidden="1">
              <a:extLst>
                <a:ext uri="{63B3BB69-23CF-44E3-9099-C40C66FF867C}">
                  <a14:compatExt spid="_x0000_s45076"/>
                </a:ext>
                <a:ext uri="{FF2B5EF4-FFF2-40B4-BE49-F238E27FC236}">
                  <a16:creationId xmlns:a16="http://schemas.microsoft.com/office/drawing/2014/main" id="{00000000-0008-0000-0500-00001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1</xdr:col>
          <xdr:colOff>392430</xdr:colOff>
          <xdr:row>27</xdr:row>
          <xdr:rowOff>0</xdr:rowOff>
        </xdr:to>
        <xdr:sp macro="" textlink="">
          <xdr:nvSpPr>
            <xdr:cNvPr id="45077" name="Check Box 21" hidden="1">
              <a:extLst>
                <a:ext uri="{63B3BB69-23CF-44E3-9099-C40C66FF867C}">
                  <a14:compatExt spid="_x0000_s45077"/>
                </a:ext>
                <a:ext uri="{FF2B5EF4-FFF2-40B4-BE49-F238E27FC236}">
                  <a16:creationId xmlns:a16="http://schemas.microsoft.com/office/drawing/2014/main" id="{00000000-0008-0000-0500-000015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45078" name="Check Box 22" hidden="1">
              <a:extLst>
                <a:ext uri="{63B3BB69-23CF-44E3-9099-C40C66FF867C}">
                  <a14:compatExt spid="_x0000_s45078"/>
                </a:ext>
                <a:ext uri="{FF2B5EF4-FFF2-40B4-BE49-F238E27FC236}">
                  <a16:creationId xmlns:a16="http://schemas.microsoft.com/office/drawing/2014/main" id="{00000000-0008-0000-0500-000016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11430</xdr:rowOff>
        </xdr:from>
        <xdr:to>
          <xdr:col>0</xdr:col>
          <xdr:colOff>800100</xdr:colOff>
          <xdr:row>29</xdr:row>
          <xdr:rowOff>19050</xdr:rowOff>
        </xdr:to>
        <xdr:sp macro="" textlink="">
          <xdr:nvSpPr>
            <xdr:cNvPr id="45079" name="Check Box 23" hidden="1">
              <a:extLst>
                <a:ext uri="{63B3BB69-23CF-44E3-9099-C40C66FF867C}">
                  <a14:compatExt spid="_x0000_s45079"/>
                </a:ext>
                <a:ext uri="{FF2B5EF4-FFF2-40B4-BE49-F238E27FC236}">
                  <a16:creationId xmlns:a16="http://schemas.microsoft.com/office/drawing/2014/main" id="{00000000-0008-0000-0500-000017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201930</xdr:rowOff>
        </xdr:from>
        <xdr:to>
          <xdr:col>0</xdr:col>
          <xdr:colOff>1097280</xdr:colOff>
          <xdr:row>30</xdr:row>
          <xdr:rowOff>19050</xdr:rowOff>
        </xdr:to>
        <xdr:sp macro="" textlink="">
          <xdr:nvSpPr>
            <xdr:cNvPr id="45080" name="Check Box 24" hidden="1">
              <a:extLst>
                <a:ext uri="{63B3BB69-23CF-44E3-9099-C40C66FF867C}">
                  <a14:compatExt spid="_x0000_s45080"/>
                </a:ext>
                <a:ext uri="{FF2B5EF4-FFF2-40B4-BE49-F238E27FC236}">
                  <a16:creationId xmlns:a16="http://schemas.microsoft.com/office/drawing/2014/main" id="{00000000-0008-0000-0500-000018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1123950</xdr:colOff>
          <xdr:row>31</xdr:row>
          <xdr:rowOff>11430</xdr:rowOff>
        </xdr:to>
        <xdr:sp macro="" textlink="">
          <xdr:nvSpPr>
            <xdr:cNvPr id="45081" name="Check Box 25" hidden="1">
              <a:extLst>
                <a:ext uri="{63B3BB69-23CF-44E3-9099-C40C66FF867C}">
                  <a14:compatExt spid="_x0000_s45081"/>
                </a:ext>
                <a:ext uri="{FF2B5EF4-FFF2-40B4-BE49-F238E27FC236}">
                  <a16:creationId xmlns:a16="http://schemas.microsoft.com/office/drawing/2014/main" id="{00000000-0008-0000-0500-00001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857250</xdr:colOff>
          <xdr:row>32</xdr:row>
          <xdr:rowOff>11430</xdr:rowOff>
        </xdr:to>
        <xdr:sp macro="" textlink="">
          <xdr:nvSpPr>
            <xdr:cNvPr id="45082" name="Check Box 26" hidden="1">
              <a:extLst>
                <a:ext uri="{63B3BB69-23CF-44E3-9099-C40C66FF867C}">
                  <a14:compatExt spid="_x0000_s45082"/>
                </a:ext>
                <a:ext uri="{FF2B5EF4-FFF2-40B4-BE49-F238E27FC236}">
                  <a16:creationId xmlns:a16="http://schemas.microsoft.com/office/drawing/2014/main" id="{00000000-0008-0000-0500-00001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2697480</xdr:colOff>
          <xdr:row>1</xdr:row>
          <xdr:rowOff>11430</xdr:rowOff>
        </xdr:from>
        <xdr:to>
          <xdr:col>1</xdr:col>
          <xdr:colOff>3505200</xdr:colOff>
          <xdr:row>2</xdr:row>
          <xdr:rowOff>19050</xdr:rowOff>
        </xdr:to>
        <xdr:sp macro="" textlink="">
          <xdr:nvSpPr>
            <xdr:cNvPr id="46081" name="Check Box 1" hidden="1">
              <a:extLst>
                <a:ext uri="{63B3BB69-23CF-44E3-9099-C40C66FF867C}">
                  <a14:compatExt spid="_x0000_s46081"/>
                </a:ext>
                <a:ext uri="{FF2B5EF4-FFF2-40B4-BE49-F238E27FC236}">
                  <a16:creationId xmlns:a16="http://schemas.microsoft.com/office/drawing/2014/main" id="{00000000-0008-0000-0600-000001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46090" name="Check Box 10" hidden="1">
              <a:extLst>
                <a:ext uri="{63B3BB69-23CF-44E3-9099-C40C66FF867C}">
                  <a14:compatExt spid="_x0000_s46090"/>
                </a:ext>
                <a:ext uri="{FF2B5EF4-FFF2-40B4-BE49-F238E27FC236}">
                  <a16:creationId xmlns:a16="http://schemas.microsoft.com/office/drawing/2014/main" id="{00000000-0008-0000-0600-00000A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46091" name="Check Box 11" hidden="1">
              <a:extLst>
                <a:ext uri="{63B3BB69-23CF-44E3-9099-C40C66FF867C}">
                  <a14:compatExt spid="_x0000_s46091"/>
                </a:ext>
                <a:ext uri="{FF2B5EF4-FFF2-40B4-BE49-F238E27FC236}">
                  <a16:creationId xmlns:a16="http://schemas.microsoft.com/office/drawing/2014/main" id="{00000000-0008-0000-0600-00000B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46092" name="Check Box 12" hidden="1">
              <a:extLst>
                <a:ext uri="{63B3BB69-23CF-44E3-9099-C40C66FF867C}">
                  <a14:compatExt spid="_x0000_s46092"/>
                </a:ext>
                <a:ext uri="{FF2B5EF4-FFF2-40B4-BE49-F238E27FC236}">
                  <a16:creationId xmlns:a16="http://schemas.microsoft.com/office/drawing/2014/main" id="{00000000-0008-0000-0600-00000C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46093" name="Check Box 13" hidden="1">
              <a:extLst>
                <a:ext uri="{63B3BB69-23CF-44E3-9099-C40C66FF867C}">
                  <a14:compatExt spid="_x0000_s46093"/>
                </a:ext>
                <a:ext uri="{FF2B5EF4-FFF2-40B4-BE49-F238E27FC236}">
                  <a16:creationId xmlns:a16="http://schemas.microsoft.com/office/drawing/2014/main" id="{00000000-0008-0000-0600-00000D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46094" name="Check Box 14" hidden="1">
              <a:extLst>
                <a:ext uri="{63B3BB69-23CF-44E3-9099-C40C66FF867C}">
                  <a14:compatExt spid="_x0000_s46094"/>
                </a:ext>
                <a:ext uri="{FF2B5EF4-FFF2-40B4-BE49-F238E27FC236}">
                  <a16:creationId xmlns:a16="http://schemas.microsoft.com/office/drawing/2014/main" id="{00000000-0008-0000-0600-00000E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46095" name="Check Box 15" hidden="1">
              <a:extLst>
                <a:ext uri="{63B3BB69-23CF-44E3-9099-C40C66FF867C}">
                  <a14:compatExt spid="_x0000_s46095"/>
                </a:ext>
                <a:ext uri="{FF2B5EF4-FFF2-40B4-BE49-F238E27FC236}">
                  <a16:creationId xmlns:a16="http://schemas.microsoft.com/office/drawing/2014/main" id="{00000000-0008-0000-0600-00000F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46096" name="Check Box 16" hidden="1">
              <a:extLst>
                <a:ext uri="{63B3BB69-23CF-44E3-9099-C40C66FF867C}">
                  <a14:compatExt spid="_x0000_s46096"/>
                </a:ext>
                <a:ext uri="{FF2B5EF4-FFF2-40B4-BE49-F238E27FC236}">
                  <a16:creationId xmlns:a16="http://schemas.microsoft.com/office/drawing/2014/main" id="{00000000-0008-0000-0600-000010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46097" name="Check Box 17" hidden="1">
              <a:extLst>
                <a:ext uri="{63B3BB69-23CF-44E3-9099-C40C66FF867C}">
                  <a14:compatExt spid="_x0000_s46097"/>
                </a:ext>
                <a:ext uri="{FF2B5EF4-FFF2-40B4-BE49-F238E27FC236}">
                  <a16:creationId xmlns:a16="http://schemas.microsoft.com/office/drawing/2014/main" id="{00000000-0008-0000-0600-000011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2640330</xdr:colOff>
          <xdr:row>1</xdr:row>
          <xdr:rowOff>11430</xdr:rowOff>
        </xdr:from>
        <xdr:to>
          <xdr:col>1</xdr:col>
          <xdr:colOff>3448050</xdr:colOff>
          <xdr:row>2</xdr:row>
          <xdr:rowOff>19050</xdr:rowOff>
        </xdr:to>
        <xdr:sp macro="" textlink="">
          <xdr:nvSpPr>
            <xdr:cNvPr id="47105" name="Check Box 1" hidden="1">
              <a:extLst>
                <a:ext uri="{63B3BB69-23CF-44E3-9099-C40C66FF867C}">
                  <a14:compatExt spid="_x0000_s47105"/>
                </a:ext>
                <a:ext uri="{FF2B5EF4-FFF2-40B4-BE49-F238E27FC236}">
                  <a16:creationId xmlns:a16="http://schemas.microsoft.com/office/drawing/2014/main" id="{00000000-0008-0000-0700-000001B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47114" name="Check Box 10" hidden="1">
              <a:extLst>
                <a:ext uri="{63B3BB69-23CF-44E3-9099-C40C66FF867C}">
                  <a14:compatExt spid="_x0000_s47114"/>
                </a:ext>
                <a:ext uri="{FF2B5EF4-FFF2-40B4-BE49-F238E27FC236}">
                  <a16:creationId xmlns:a16="http://schemas.microsoft.com/office/drawing/2014/main" id="{00000000-0008-0000-0700-00000AB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47115" name="Check Box 11" hidden="1">
              <a:extLst>
                <a:ext uri="{63B3BB69-23CF-44E3-9099-C40C66FF867C}">
                  <a14:compatExt spid="_x0000_s47115"/>
                </a:ext>
                <a:ext uri="{FF2B5EF4-FFF2-40B4-BE49-F238E27FC236}">
                  <a16:creationId xmlns:a16="http://schemas.microsoft.com/office/drawing/2014/main" id="{00000000-0008-0000-0700-00000BB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47116" name="Check Box 12" hidden="1">
              <a:extLst>
                <a:ext uri="{63B3BB69-23CF-44E3-9099-C40C66FF867C}">
                  <a14:compatExt spid="_x0000_s47116"/>
                </a:ext>
                <a:ext uri="{FF2B5EF4-FFF2-40B4-BE49-F238E27FC236}">
                  <a16:creationId xmlns:a16="http://schemas.microsoft.com/office/drawing/2014/main" id="{00000000-0008-0000-0700-00000CB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47117" name="Check Box 13" hidden="1">
              <a:extLst>
                <a:ext uri="{63B3BB69-23CF-44E3-9099-C40C66FF867C}">
                  <a14:compatExt spid="_x0000_s47117"/>
                </a:ext>
                <a:ext uri="{FF2B5EF4-FFF2-40B4-BE49-F238E27FC236}">
                  <a16:creationId xmlns:a16="http://schemas.microsoft.com/office/drawing/2014/main" id="{00000000-0008-0000-0700-00000DB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47118" name="Check Box 14" hidden="1">
              <a:extLst>
                <a:ext uri="{63B3BB69-23CF-44E3-9099-C40C66FF867C}">
                  <a14:compatExt spid="_x0000_s47118"/>
                </a:ext>
                <a:ext uri="{FF2B5EF4-FFF2-40B4-BE49-F238E27FC236}">
                  <a16:creationId xmlns:a16="http://schemas.microsoft.com/office/drawing/2014/main" id="{00000000-0008-0000-0700-00000EB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47119" name="Check Box 15" hidden="1">
              <a:extLst>
                <a:ext uri="{63B3BB69-23CF-44E3-9099-C40C66FF867C}">
                  <a14:compatExt spid="_x0000_s47119"/>
                </a:ext>
                <a:ext uri="{FF2B5EF4-FFF2-40B4-BE49-F238E27FC236}">
                  <a16:creationId xmlns:a16="http://schemas.microsoft.com/office/drawing/2014/main" id="{00000000-0008-0000-0700-00000FB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47120" name="Check Box 16" hidden="1">
              <a:extLst>
                <a:ext uri="{63B3BB69-23CF-44E3-9099-C40C66FF867C}">
                  <a14:compatExt spid="_x0000_s47120"/>
                </a:ext>
                <a:ext uri="{FF2B5EF4-FFF2-40B4-BE49-F238E27FC236}">
                  <a16:creationId xmlns:a16="http://schemas.microsoft.com/office/drawing/2014/main" id="{00000000-0008-0000-0700-000010B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47121" name="Check Box 17" hidden="1">
              <a:extLst>
                <a:ext uri="{63B3BB69-23CF-44E3-9099-C40C66FF867C}">
                  <a14:compatExt spid="_x0000_s47121"/>
                </a:ext>
                <a:ext uri="{FF2B5EF4-FFF2-40B4-BE49-F238E27FC236}">
                  <a16:creationId xmlns:a16="http://schemas.microsoft.com/office/drawing/2014/main" id="{00000000-0008-0000-0700-000011B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2640330</xdr:colOff>
          <xdr:row>1</xdr:row>
          <xdr:rowOff>0</xdr:rowOff>
        </xdr:from>
        <xdr:to>
          <xdr:col>1</xdr:col>
          <xdr:colOff>3448050</xdr:colOff>
          <xdr:row>2</xdr:row>
          <xdr:rowOff>11430</xdr:rowOff>
        </xdr:to>
        <xdr:sp macro="" textlink="">
          <xdr:nvSpPr>
            <xdr:cNvPr id="48129" name="Check Box 1" hidden="1">
              <a:extLst>
                <a:ext uri="{63B3BB69-23CF-44E3-9099-C40C66FF867C}">
                  <a14:compatExt spid="_x0000_s48129"/>
                </a:ext>
                <a:ext uri="{FF2B5EF4-FFF2-40B4-BE49-F238E27FC236}">
                  <a16:creationId xmlns:a16="http://schemas.microsoft.com/office/drawing/2014/main" id="{00000000-0008-0000-0800-000001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48130" name="Check Box 2" hidden="1">
              <a:extLst>
                <a:ext uri="{63B3BB69-23CF-44E3-9099-C40C66FF867C}">
                  <a14:compatExt spid="_x0000_s48130"/>
                </a:ext>
                <a:ext uri="{FF2B5EF4-FFF2-40B4-BE49-F238E27FC236}">
                  <a16:creationId xmlns:a16="http://schemas.microsoft.com/office/drawing/2014/main" id="{00000000-0008-0000-0800-000002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48131" name="Check Box 3" hidden="1">
              <a:extLst>
                <a:ext uri="{63B3BB69-23CF-44E3-9099-C40C66FF867C}">
                  <a14:compatExt spid="_x0000_s48131"/>
                </a:ext>
                <a:ext uri="{FF2B5EF4-FFF2-40B4-BE49-F238E27FC236}">
                  <a16:creationId xmlns:a16="http://schemas.microsoft.com/office/drawing/2014/main" id="{00000000-0008-0000-0800-000003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48132" name="Check Box 4" hidden="1">
              <a:extLst>
                <a:ext uri="{63B3BB69-23CF-44E3-9099-C40C66FF867C}">
                  <a14:compatExt spid="_x0000_s48132"/>
                </a:ext>
                <a:ext uri="{FF2B5EF4-FFF2-40B4-BE49-F238E27FC236}">
                  <a16:creationId xmlns:a16="http://schemas.microsoft.com/office/drawing/2014/main" id="{00000000-0008-0000-0800-000004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48133" name="Check Box 5" hidden="1">
              <a:extLst>
                <a:ext uri="{63B3BB69-23CF-44E3-9099-C40C66FF867C}">
                  <a14:compatExt spid="_x0000_s48133"/>
                </a:ext>
                <a:ext uri="{FF2B5EF4-FFF2-40B4-BE49-F238E27FC236}">
                  <a16:creationId xmlns:a16="http://schemas.microsoft.com/office/drawing/2014/main" id="{00000000-0008-0000-0800-000005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48134" name="Check Box 6" hidden="1">
              <a:extLst>
                <a:ext uri="{63B3BB69-23CF-44E3-9099-C40C66FF867C}">
                  <a14:compatExt spid="_x0000_s48134"/>
                </a:ext>
                <a:ext uri="{FF2B5EF4-FFF2-40B4-BE49-F238E27FC236}">
                  <a16:creationId xmlns:a16="http://schemas.microsoft.com/office/drawing/2014/main" id="{00000000-0008-0000-0800-000006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48135" name="Check Box 7" hidden="1">
              <a:extLst>
                <a:ext uri="{63B3BB69-23CF-44E3-9099-C40C66FF867C}">
                  <a14:compatExt spid="_x0000_s48135"/>
                </a:ext>
                <a:ext uri="{FF2B5EF4-FFF2-40B4-BE49-F238E27FC236}">
                  <a16:creationId xmlns:a16="http://schemas.microsoft.com/office/drawing/2014/main" id="{00000000-0008-0000-0800-000007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48136" name="Check Box 8" hidden="1">
              <a:extLst>
                <a:ext uri="{63B3BB69-23CF-44E3-9099-C40C66FF867C}">
                  <a14:compatExt spid="_x0000_s48136"/>
                </a:ext>
                <a:ext uri="{FF2B5EF4-FFF2-40B4-BE49-F238E27FC236}">
                  <a16:creationId xmlns:a16="http://schemas.microsoft.com/office/drawing/2014/main" id="{00000000-0008-0000-0800-000008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48137" name="Check Box 9" hidden="1">
              <a:extLst>
                <a:ext uri="{63B3BB69-23CF-44E3-9099-C40C66FF867C}">
                  <a14:compatExt spid="_x0000_s48137"/>
                </a:ext>
                <a:ext uri="{FF2B5EF4-FFF2-40B4-BE49-F238E27FC236}">
                  <a16:creationId xmlns:a16="http://schemas.microsoft.com/office/drawing/2014/main" id="{00000000-0008-0000-0800-000009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2495550</xdr:colOff>
          <xdr:row>1</xdr:row>
          <xdr:rowOff>11430</xdr:rowOff>
        </xdr:from>
        <xdr:to>
          <xdr:col>1</xdr:col>
          <xdr:colOff>3307080</xdr:colOff>
          <xdr:row>2</xdr:row>
          <xdr:rowOff>19050</xdr:rowOff>
        </xdr:to>
        <xdr:sp macro="" textlink="">
          <xdr:nvSpPr>
            <xdr:cNvPr id="49158" name="Check Box 6" hidden="1">
              <a:extLst>
                <a:ext uri="{63B3BB69-23CF-44E3-9099-C40C66FF867C}">
                  <a14:compatExt spid="_x0000_s49158"/>
                </a:ext>
                <a:ext uri="{FF2B5EF4-FFF2-40B4-BE49-F238E27FC236}">
                  <a16:creationId xmlns:a16="http://schemas.microsoft.com/office/drawing/2014/main" id="{00000000-0008-0000-0900-000006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49159" name="Check Box 7" hidden="1">
              <a:extLst>
                <a:ext uri="{63B3BB69-23CF-44E3-9099-C40C66FF867C}">
                  <a14:compatExt spid="_x0000_s49159"/>
                </a:ext>
                <a:ext uri="{FF2B5EF4-FFF2-40B4-BE49-F238E27FC236}">
                  <a16:creationId xmlns:a16="http://schemas.microsoft.com/office/drawing/2014/main" id="{00000000-0008-0000-0900-000007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49160" name="Check Box 8" hidden="1">
              <a:extLst>
                <a:ext uri="{63B3BB69-23CF-44E3-9099-C40C66FF867C}">
                  <a14:compatExt spid="_x0000_s49160"/>
                </a:ext>
                <a:ext uri="{FF2B5EF4-FFF2-40B4-BE49-F238E27FC236}">
                  <a16:creationId xmlns:a16="http://schemas.microsoft.com/office/drawing/2014/main" id="{00000000-0008-0000-0900-000008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49161" name="Check Box 9" hidden="1">
              <a:extLst>
                <a:ext uri="{63B3BB69-23CF-44E3-9099-C40C66FF867C}">
                  <a14:compatExt spid="_x0000_s49161"/>
                </a:ext>
                <a:ext uri="{FF2B5EF4-FFF2-40B4-BE49-F238E27FC236}">
                  <a16:creationId xmlns:a16="http://schemas.microsoft.com/office/drawing/2014/main" id="{00000000-0008-0000-0900-000009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49162" name="Check Box 10" hidden="1">
              <a:extLst>
                <a:ext uri="{63B3BB69-23CF-44E3-9099-C40C66FF867C}">
                  <a14:compatExt spid="_x0000_s49162"/>
                </a:ext>
                <a:ext uri="{FF2B5EF4-FFF2-40B4-BE49-F238E27FC236}">
                  <a16:creationId xmlns:a16="http://schemas.microsoft.com/office/drawing/2014/main" id="{00000000-0008-0000-0900-00000A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49163" name="Check Box 11" hidden="1">
              <a:extLst>
                <a:ext uri="{63B3BB69-23CF-44E3-9099-C40C66FF867C}">
                  <a14:compatExt spid="_x0000_s49163"/>
                </a:ext>
                <a:ext uri="{FF2B5EF4-FFF2-40B4-BE49-F238E27FC236}">
                  <a16:creationId xmlns:a16="http://schemas.microsoft.com/office/drawing/2014/main" id="{00000000-0008-0000-0900-00000B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49164" name="Check Box 12" hidden="1">
              <a:extLst>
                <a:ext uri="{63B3BB69-23CF-44E3-9099-C40C66FF867C}">
                  <a14:compatExt spid="_x0000_s49164"/>
                </a:ext>
                <a:ext uri="{FF2B5EF4-FFF2-40B4-BE49-F238E27FC236}">
                  <a16:creationId xmlns:a16="http://schemas.microsoft.com/office/drawing/2014/main" id="{00000000-0008-0000-0900-00000C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49165" name="Check Box 13" hidden="1">
              <a:extLst>
                <a:ext uri="{63B3BB69-23CF-44E3-9099-C40C66FF867C}">
                  <a14:compatExt spid="_x0000_s49165"/>
                </a:ext>
                <a:ext uri="{FF2B5EF4-FFF2-40B4-BE49-F238E27FC236}">
                  <a16:creationId xmlns:a16="http://schemas.microsoft.com/office/drawing/2014/main" id="{00000000-0008-0000-0900-00000D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49166" name="Check Box 14" hidden="1">
              <a:extLst>
                <a:ext uri="{63B3BB69-23CF-44E3-9099-C40C66FF867C}">
                  <a14:compatExt spid="_x0000_s49166"/>
                </a:ext>
                <a:ext uri="{FF2B5EF4-FFF2-40B4-BE49-F238E27FC236}">
                  <a16:creationId xmlns:a16="http://schemas.microsoft.com/office/drawing/2014/main" id="{00000000-0008-0000-0900-00000E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2449830</xdr:colOff>
          <xdr:row>1</xdr:row>
          <xdr:rowOff>49530</xdr:rowOff>
        </xdr:from>
        <xdr:to>
          <xdr:col>1</xdr:col>
          <xdr:colOff>3257550</xdr:colOff>
          <xdr:row>1</xdr:row>
          <xdr:rowOff>259080</xdr:rowOff>
        </xdr:to>
        <xdr:sp macro="" textlink="">
          <xdr:nvSpPr>
            <xdr:cNvPr id="50177" name="Check Box 1" hidden="1">
              <a:extLst>
                <a:ext uri="{63B3BB69-23CF-44E3-9099-C40C66FF867C}">
                  <a14:compatExt spid="_x0000_s50177"/>
                </a:ext>
                <a:ext uri="{FF2B5EF4-FFF2-40B4-BE49-F238E27FC236}">
                  <a16:creationId xmlns:a16="http://schemas.microsoft.com/office/drawing/2014/main" id="{00000000-0008-0000-0A00-000001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50178" name="Check Box 2" hidden="1">
              <a:extLst>
                <a:ext uri="{63B3BB69-23CF-44E3-9099-C40C66FF867C}">
                  <a14:compatExt spid="_x0000_s50178"/>
                </a:ext>
                <a:ext uri="{FF2B5EF4-FFF2-40B4-BE49-F238E27FC236}">
                  <a16:creationId xmlns:a16="http://schemas.microsoft.com/office/drawing/2014/main" id="{00000000-0008-0000-0A00-000002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50179" name="Check Box 3" hidden="1">
              <a:extLst>
                <a:ext uri="{63B3BB69-23CF-44E3-9099-C40C66FF867C}">
                  <a14:compatExt spid="_x0000_s50179"/>
                </a:ext>
                <a:ext uri="{FF2B5EF4-FFF2-40B4-BE49-F238E27FC236}">
                  <a16:creationId xmlns:a16="http://schemas.microsoft.com/office/drawing/2014/main" id="{00000000-0008-0000-0A00-000003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50180" name="Check Box 4" hidden="1">
              <a:extLst>
                <a:ext uri="{63B3BB69-23CF-44E3-9099-C40C66FF867C}">
                  <a14:compatExt spid="_x0000_s50180"/>
                </a:ext>
                <a:ext uri="{FF2B5EF4-FFF2-40B4-BE49-F238E27FC236}">
                  <a16:creationId xmlns:a16="http://schemas.microsoft.com/office/drawing/2014/main" id="{00000000-0008-0000-0A00-000004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50181" name="Check Box 5"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50182" name="Check Box 6"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50183" name="Check Box 7" hidden="1">
              <a:extLst>
                <a:ext uri="{63B3BB69-23CF-44E3-9099-C40C66FF867C}">
                  <a14:compatExt spid="_x0000_s50183"/>
                </a:ext>
                <a:ext uri="{FF2B5EF4-FFF2-40B4-BE49-F238E27FC236}">
                  <a16:creationId xmlns:a16="http://schemas.microsoft.com/office/drawing/2014/main" id="{00000000-0008-0000-0A00-000007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50184" name="Check Box 8" hidden="1">
              <a:extLst>
                <a:ext uri="{63B3BB69-23CF-44E3-9099-C40C66FF867C}">
                  <a14:compatExt spid="_x0000_s50184"/>
                </a:ext>
                <a:ext uri="{FF2B5EF4-FFF2-40B4-BE49-F238E27FC236}">
                  <a16:creationId xmlns:a16="http://schemas.microsoft.com/office/drawing/2014/main" id="{00000000-0008-0000-0A00-000008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50185" name="Check Box 9" hidden="1">
              <a:extLst>
                <a:ext uri="{63B3BB69-23CF-44E3-9099-C40C66FF867C}">
                  <a14:compatExt spid="_x0000_s50185"/>
                </a:ext>
                <a:ext uri="{FF2B5EF4-FFF2-40B4-BE49-F238E27FC236}">
                  <a16:creationId xmlns:a16="http://schemas.microsoft.com/office/drawing/2014/main" id="{00000000-0008-0000-0A00-000009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2487930</xdr:colOff>
          <xdr:row>1</xdr:row>
          <xdr:rowOff>11430</xdr:rowOff>
        </xdr:from>
        <xdr:to>
          <xdr:col>1</xdr:col>
          <xdr:colOff>3295650</xdr:colOff>
          <xdr:row>2</xdr:row>
          <xdr:rowOff>19050</xdr:rowOff>
        </xdr:to>
        <xdr:sp macro="" textlink="">
          <xdr:nvSpPr>
            <xdr:cNvPr id="51201" name="Check Box 1" hidden="1">
              <a:extLst>
                <a:ext uri="{63B3BB69-23CF-44E3-9099-C40C66FF867C}">
                  <a14:compatExt spid="_x0000_s51201"/>
                </a:ext>
                <a:ext uri="{FF2B5EF4-FFF2-40B4-BE49-F238E27FC236}">
                  <a16:creationId xmlns:a16="http://schemas.microsoft.com/office/drawing/2014/main" id="{00000000-0008-0000-0B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51202" name="Check Box 2" hidden="1">
              <a:extLst>
                <a:ext uri="{63B3BB69-23CF-44E3-9099-C40C66FF867C}">
                  <a14:compatExt spid="_x0000_s51202"/>
                </a:ext>
                <a:ext uri="{FF2B5EF4-FFF2-40B4-BE49-F238E27FC236}">
                  <a16:creationId xmlns:a16="http://schemas.microsoft.com/office/drawing/2014/main" id="{00000000-0008-0000-0B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51203" name="Check Box 3" hidden="1">
              <a:extLst>
                <a:ext uri="{63B3BB69-23CF-44E3-9099-C40C66FF867C}">
                  <a14:compatExt spid="_x0000_s51203"/>
                </a:ext>
                <a:ext uri="{FF2B5EF4-FFF2-40B4-BE49-F238E27FC236}">
                  <a16:creationId xmlns:a16="http://schemas.microsoft.com/office/drawing/2014/main" id="{00000000-0008-0000-0B00-000003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51204" name="Check Box 4" hidden="1">
              <a:extLst>
                <a:ext uri="{63B3BB69-23CF-44E3-9099-C40C66FF867C}">
                  <a14:compatExt spid="_x0000_s51204"/>
                </a:ext>
                <a:ext uri="{FF2B5EF4-FFF2-40B4-BE49-F238E27FC236}">
                  <a16:creationId xmlns:a16="http://schemas.microsoft.com/office/drawing/2014/main" id="{00000000-0008-0000-0B00-000004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51205" name="Check Box 5" hidden="1">
              <a:extLst>
                <a:ext uri="{63B3BB69-23CF-44E3-9099-C40C66FF867C}">
                  <a14:compatExt spid="_x0000_s51205"/>
                </a:ext>
                <a:ext uri="{FF2B5EF4-FFF2-40B4-BE49-F238E27FC236}">
                  <a16:creationId xmlns:a16="http://schemas.microsoft.com/office/drawing/2014/main" id="{00000000-0008-0000-0B00-000005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51206" name="Check Box 6" hidden="1">
              <a:extLst>
                <a:ext uri="{63B3BB69-23CF-44E3-9099-C40C66FF867C}">
                  <a14:compatExt spid="_x0000_s51206"/>
                </a:ext>
                <a:ext uri="{FF2B5EF4-FFF2-40B4-BE49-F238E27FC236}">
                  <a16:creationId xmlns:a16="http://schemas.microsoft.com/office/drawing/2014/main" id="{00000000-0008-0000-0B00-000006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51207" name="Check Box 7" hidden="1">
              <a:extLst>
                <a:ext uri="{63B3BB69-23CF-44E3-9099-C40C66FF867C}">
                  <a14:compatExt spid="_x0000_s51207"/>
                </a:ext>
                <a:ext uri="{FF2B5EF4-FFF2-40B4-BE49-F238E27FC236}">
                  <a16:creationId xmlns:a16="http://schemas.microsoft.com/office/drawing/2014/main" id="{00000000-0008-0000-0B00-000007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51208" name="Check Box 8" hidden="1">
              <a:extLst>
                <a:ext uri="{63B3BB69-23CF-44E3-9099-C40C66FF867C}">
                  <a14:compatExt spid="_x0000_s51208"/>
                </a:ext>
                <a:ext uri="{FF2B5EF4-FFF2-40B4-BE49-F238E27FC236}">
                  <a16:creationId xmlns:a16="http://schemas.microsoft.com/office/drawing/2014/main" id="{00000000-0008-0000-0B00-000008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51209" name="Check Box 9" hidden="1">
              <a:extLst>
                <a:ext uri="{63B3BB69-23CF-44E3-9099-C40C66FF867C}">
                  <a14:compatExt spid="_x0000_s51209"/>
                </a:ext>
                <a:ext uri="{FF2B5EF4-FFF2-40B4-BE49-F238E27FC236}">
                  <a16:creationId xmlns:a16="http://schemas.microsoft.com/office/drawing/2014/main" id="{00000000-0008-0000-0B00-000009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621030</xdr:colOff>
          <xdr:row>7</xdr:row>
          <xdr:rowOff>335280</xdr:rowOff>
        </xdr:from>
        <xdr:to>
          <xdr:col>3</xdr:col>
          <xdr:colOff>19050</xdr:colOff>
          <xdr:row>7</xdr:row>
          <xdr:rowOff>552450</xdr:rowOff>
        </xdr:to>
        <xdr:sp macro="" textlink="">
          <xdr:nvSpPr>
            <xdr:cNvPr id="19459" name="Check Box 3" hidden="1">
              <a:extLst>
                <a:ext uri="{63B3BB69-23CF-44E3-9099-C40C66FF867C}">
                  <a14:compatExt spid="_x0000_s19459"/>
                </a:ext>
                <a:ext uri="{FF2B5EF4-FFF2-40B4-BE49-F238E27FC236}">
                  <a16:creationId xmlns:a16="http://schemas.microsoft.com/office/drawing/2014/main" id="{00000000-0008-0000-0C00-00000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621030</xdr:colOff>
          <xdr:row>8</xdr:row>
          <xdr:rowOff>335280</xdr:rowOff>
        </xdr:from>
        <xdr:to>
          <xdr:col>3</xdr:col>
          <xdr:colOff>19050</xdr:colOff>
          <xdr:row>9</xdr:row>
          <xdr:rowOff>11430</xdr:rowOff>
        </xdr:to>
        <xdr:sp macro="" textlink="">
          <xdr:nvSpPr>
            <xdr:cNvPr id="19460" name="Check Box 4" hidden="1">
              <a:extLst>
                <a:ext uri="{63B3BB69-23CF-44E3-9099-C40C66FF867C}">
                  <a14:compatExt spid="_x0000_s19460"/>
                </a:ext>
                <a:ext uri="{FF2B5EF4-FFF2-40B4-BE49-F238E27FC236}">
                  <a16:creationId xmlns:a16="http://schemas.microsoft.com/office/drawing/2014/main" id="{00000000-0008-0000-0C00-00000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621030</xdr:colOff>
          <xdr:row>9</xdr:row>
          <xdr:rowOff>335280</xdr:rowOff>
        </xdr:from>
        <xdr:to>
          <xdr:col>3</xdr:col>
          <xdr:colOff>19050</xdr:colOff>
          <xdr:row>10</xdr:row>
          <xdr:rowOff>30480</xdr:rowOff>
        </xdr:to>
        <xdr:sp macro="" textlink="">
          <xdr:nvSpPr>
            <xdr:cNvPr id="19461" name="Check Box 5" hidden="1">
              <a:extLst>
                <a:ext uri="{63B3BB69-23CF-44E3-9099-C40C66FF867C}">
                  <a14:compatExt spid="_x0000_s19461"/>
                </a:ext>
                <a:ext uri="{FF2B5EF4-FFF2-40B4-BE49-F238E27FC236}">
                  <a16:creationId xmlns:a16="http://schemas.microsoft.com/office/drawing/2014/main" id="{00000000-0008-0000-0C00-00000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621030</xdr:colOff>
          <xdr:row>7</xdr:row>
          <xdr:rowOff>335280</xdr:rowOff>
        </xdr:from>
        <xdr:to>
          <xdr:col>3</xdr:col>
          <xdr:colOff>19050</xdr:colOff>
          <xdr:row>7</xdr:row>
          <xdr:rowOff>552450</xdr:rowOff>
        </xdr:to>
        <xdr:sp macro="" textlink="">
          <xdr:nvSpPr>
            <xdr:cNvPr id="19462" name="Check Box 6" hidden="1">
              <a:extLst>
                <a:ext uri="{63B3BB69-23CF-44E3-9099-C40C66FF867C}">
                  <a14:compatExt spid="_x0000_s19462"/>
                </a:ext>
                <a:ext uri="{FF2B5EF4-FFF2-40B4-BE49-F238E27FC236}">
                  <a16:creationId xmlns:a16="http://schemas.microsoft.com/office/drawing/2014/main" id="{00000000-0008-0000-0C00-00000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621030</xdr:colOff>
          <xdr:row>8</xdr:row>
          <xdr:rowOff>335280</xdr:rowOff>
        </xdr:from>
        <xdr:to>
          <xdr:col>3</xdr:col>
          <xdr:colOff>19050</xdr:colOff>
          <xdr:row>9</xdr:row>
          <xdr:rowOff>11430</xdr:rowOff>
        </xdr:to>
        <xdr:sp macro="" textlink="">
          <xdr:nvSpPr>
            <xdr:cNvPr id="19463" name="Check Box 7" hidden="1">
              <a:extLst>
                <a:ext uri="{63B3BB69-23CF-44E3-9099-C40C66FF867C}">
                  <a14:compatExt spid="_x0000_s19463"/>
                </a:ext>
                <a:ext uri="{FF2B5EF4-FFF2-40B4-BE49-F238E27FC236}">
                  <a16:creationId xmlns:a16="http://schemas.microsoft.com/office/drawing/2014/main" id="{00000000-0008-0000-0C00-00000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621030</xdr:colOff>
          <xdr:row>9</xdr:row>
          <xdr:rowOff>335280</xdr:rowOff>
        </xdr:from>
        <xdr:to>
          <xdr:col>3</xdr:col>
          <xdr:colOff>19050</xdr:colOff>
          <xdr:row>10</xdr:row>
          <xdr:rowOff>30480</xdr:rowOff>
        </xdr:to>
        <xdr:sp macro="" textlink="">
          <xdr:nvSpPr>
            <xdr:cNvPr id="19464" name="Check Box 8" hidden="1">
              <a:extLst>
                <a:ext uri="{63B3BB69-23CF-44E3-9099-C40C66FF867C}">
                  <a14:compatExt spid="_x0000_s19464"/>
                </a:ext>
                <a:ext uri="{FF2B5EF4-FFF2-40B4-BE49-F238E27FC236}">
                  <a16:creationId xmlns:a16="http://schemas.microsoft.com/office/drawing/2014/main" id="{00000000-0008-0000-0C00-00000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2526030</xdr:colOff>
          <xdr:row>0</xdr:row>
          <xdr:rowOff>240030</xdr:rowOff>
        </xdr:from>
        <xdr:to>
          <xdr:col>1</xdr:col>
          <xdr:colOff>3333750</xdr:colOff>
          <xdr:row>1</xdr:row>
          <xdr:rowOff>182880</xdr:rowOff>
        </xdr:to>
        <xdr:sp macro="" textlink="">
          <xdr:nvSpPr>
            <xdr:cNvPr id="19465" name="Check Box 9" hidden="1">
              <a:extLst>
                <a:ext uri="{63B3BB69-23CF-44E3-9099-C40C66FF867C}">
                  <a14:compatExt spid="_x0000_s19465"/>
                </a:ext>
                <a:ext uri="{FF2B5EF4-FFF2-40B4-BE49-F238E27FC236}">
                  <a16:creationId xmlns:a16="http://schemas.microsoft.com/office/drawing/2014/main" id="{00000000-0008-0000-0C00-00000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190500</xdr:rowOff>
        </xdr:from>
        <xdr:to>
          <xdr:col>0</xdr:col>
          <xdr:colOff>963930</xdr:colOff>
          <xdr:row>22</xdr:row>
          <xdr:rowOff>0</xdr:rowOff>
        </xdr:to>
        <xdr:sp macro="" textlink="">
          <xdr:nvSpPr>
            <xdr:cNvPr id="19466" name="Check Box 10" hidden="1">
              <a:extLst>
                <a:ext uri="{63B3BB69-23CF-44E3-9099-C40C66FF867C}">
                  <a14:compatExt spid="_x0000_s19466"/>
                </a:ext>
                <a:ext uri="{FF2B5EF4-FFF2-40B4-BE49-F238E27FC236}">
                  <a16:creationId xmlns:a16="http://schemas.microsoft.com/office/drawing/2014/main" id="{00000000-0008-0000-0C00-00000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182880</xdr:rowOff>
        </xdr:from>
        <xdr:to>
          <xdr:col>0</xdr:col>
          <xdr:colOff>906780</xdr:colOff>
          <xdr:row>23</xdr:row>
          <xdr:rowOff>0</xdr:rowOff>
        </xdr:to>
        <xdr:sp macro="" textlink="">
          <xdr:nvSpPr>
            <xdr:cNvPr id="19467" name="Check Box 11" hidden="1">
              <a:extLst>
                <a:ext uri="{63B3BB69-23CF-44E3-9099-C40C66FF867C}">
                  <a14:compatExt spid="_x0000_s19467"/>
                </a:ext>
                <a:ext uri="{FF2B5EF4-FFF2-40B4-BE49-F238E27FC236}">
                  <a16:creationId xmlns:a16="http://schemas.microsoft.com/office/drawing/2014/main" id="{00000000-0008-0000-0C00-00000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392430</xdr:colOff>
          <xdr:row>24</xdr:row>
          <xdr:rowOff>0</xdr:rowOff>
        </xdr:to>
        <xdr:sp macro="" textlink="">
          <xdr:nvSpPr>
            <xdr:cNvPr id="19468" name="Check Box 12" hidden="1">
              <a:extLst>
                <a:ext uri="{63B3BB69-23CF-44E3-9099-C40C66FF867C}">
                  <a14:compatExt spid="_x0000_s19468"/>
                </a:ext>
                <a:ext uri="{FF2B5EF4-FFF2-40B4-BE49-F238E27FC236}">
                  <a16:creationId xmlns:a16="http://schemas.microsoft.com/office/drawing/2014/main" id="{00000000-0008-0000-0C00-00000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11430</xdr:rowOff>
        </xdr:from>
        <xdr:to>
          <xdr:col>0</xdr:col>
          <xdr:colOff>800100</xdr:colOff>
          <xdr:row>25</xdr:row>
          <xdr:rowOff>19050</xdr:rowOff>
        </xdr:to>
        <xdr:sp macro="" textlink="">
          <xdr:nvSpPr>
            <xdr:cNvPr id="19469" name="Check Box 13" hidden="1">
              <a:extLst>
                <a:ext uri="{63B3BB69-23CF-44E3-9099-C40C66FF867C}">
                  <a14:compatExt spid="_x0000_s19469"/>
                </a:ext>
                <a:ext uri="{FF2B5EF4-FFF2-40B4-BE49-F238E27FC236}">
                  <a16:creationId xmlns:a16="http://schemas.microsoft.com/office/drawing/2014/main" id="{00000000-0008-0000-0C00-00000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11430</xdr:rowOff>
        </xdr:from>
        <xdr:to>
          <xdr:col>0</xdr:col>
          <xdr:colOff>800100</xdr:colOff>
          <xdr:row>26</xdr:row>
          <xdr:rowOff>19050</xdr:rowOff>
        </xdr:to>
        <xdr:sp macro="" textlink="">
          <xdr:nvSpPr>
            <xdr:cNvPr id="19470" name="Check Box 14" hidden="1">
              <a:extLst>
                <a:ext uri="{63B3BB69-23CF-44E3-9099-C40C66FF867C}">
                  <a14:compatExt spid="_x0000_s19470"/>
                </a:ext>
                <a:ext uri="{FF2B5EF4-FFF2-40B4-BE49-F238E27FC236}">
                  <a16:creationId xmlns:a16="http://schemas.microsoft.com/office/drawing/2014/main" id="{00000000-0008-0000-0C00-00000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201930</xdr:rowOff>
        </xdr:from>
        <xdr:to>
          <xdr:col>0</xdr:col>
          <xdr:colOff>1097280</xdr:colOff>
          <xdr:row>27</xdr:row>
          <xdr:rowOff>19050</xdr:rowOff>
        </xdr:to>
        <xdr:sp macro="" textlink="">
          <xdr:nvSpPr>
            <xdr:cNvPr id="19471" name="Check Box 15" hidden="1">
              <a:extLst>
                <a:ext uri="{63B3BB69-23CF-44E3-9099-C40C66FF867C}">
                  <a14:compatExt spid="_x0000_s19471"/>
                </a:ext>
                <a:ext uri="{FF2B5EF4-FFF2-40B4-BE49-F238E27FC236}">
                  <a16:creationId xmlns:a16="http://schemas.microsoft.com/office/drawing/2014/main" id="{00000000-0008-0000-0C00-00000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1123950</xdr:colOff>
          <xdr:row>28</xdr:row>
          <xdr:rowOff>11430</xdr:rowOff>
        </xdr:to>
        <xdr:sp macro="" textlink="">
          <xdr:nvSpPr>
            <xdr:cNvPr id="19472" name="Check Box 16" hidden="1">
              <a:extLst>
                <a:ext uri="{63B3BB69-23CF-44E3-9099-C40C66FF867C}">
                  <a14:compatExt spid="_x0000_s19472"/>
                </a:ext>
                <a:ext uri="{FF2B5EF4-FFF2-40B4-BE49-F238E27FC236}">
                  <a16:creationId xmlns:a16="http://schemas.microsoft.com/office/drawing/2014/main" id="{00000000-0008-0000-0C00-00001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857250</xdr:colOff>
          <xdr:row>29</xdr:row>
          <xdr:rowOff>11430</xdr:rowOff>
        </xdr:to>
        <xdr:sp macro="" textlink="">
          <xdr:nvSpPr>
            <xdr:cNvPr id="19473" name="Check Box 17" hidden="1">
              <a:extLst>
                <a:ext uri="{63B3BB69-23CF-44E3-9099-C40C66FF867C}">
                  <a14:compatExt spid="_x0000_s19473"/>
                </a:ext>
                <a:ext uri="{FF2B5EF4-FFF2-40B4-BE49-F238E27FC236}">
                  <a16:creationId xmlns:a16="http://schemas.microsoft.com/office/drawing/2014/main" id="{00000000-0008-0000-0C00-00001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2468880</xdr:colOff>
          <xdr:row>1</xdr:row>
          <xdr:rowOff>19050</xdr:rowOff>
        </xdr:from>
        <xdr:to>
          <xdr:col>1</xdr:col>
          <xdr:colOff>3276600</xdr:colOff>
          <xdr:row>2</xdr:row>
          <xdr:rowOff>0</xdr:rowOff>
        </xdr:to>
        <xdr:sp macro="" textlink="">
          <xdr:nvSpPr>
            <xdr:cNvPr id="52225" name="Check Box 1" hidden="1">
              <a:extLst>
                <a:ext uri="{63B3BB69-23CF-44E3-9099-C40C66FF867C}">
                  <a14:compatExt spid="_x0000_s52225"/>
                </a:ext>
                <a:ext uri="{FF2B5EF4-FFF2-40B4-BE49-F238E27FC236}">
                  <a16:creationId xmlns:a16="http://schemas.microsoft.com/office/drawing/2014/main" id="{00000000-0008-0000-0D00-000001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52226" name="Check Box 2" hidden="1">
              <a:extLst>
                <a:ext uri="{63B3BB69-23CF-44E3-9099-C40C66FF867C}">
                  <a14:compatExt spid="_x0000_s52226"/>
                </a:ext>
                <a:ext uri="{FF2B5EF4-FFF2-40B4-BE49-F238E27FC236}">
                  <a16:creationId xmlns:a16="http://schemas.microsoft.com/office/drawing/2014/main" id="{00000000-0008-0000-0D00-000002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52227" name="Check Box 3" hidden="1">
              <a:extLst>
                <a:ext uri="{63B3BB69-23CF-44E3-9099-C40C66FF867C}">
                  <a14:compatExt spid="_x0000_s52227"/>
                </a:ext>
                <a:ext uri="{FF2B5EF4-FFF2-40B4-BE49-F238E27FC236}">
                  <a16:creationId xmlns:a16="http://schemas.microsoft.com/office/drawing/2014/main" id="{00000000-0008-0000-0D00-000003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52228" name="Check Box 4" hidden="1">
              <a:extLst>
                <a:ext uri="{63B3BB69-23CF-44E3-9099-C40C66FF867C}">
                  <a14:compatExt spid="_x0000_s52228"/>
                </a:ext>
                <a:ext uri="{FF2B5EF4-FFF2-40B4-BE49-F238E27FC236}">
                  <a16:creationId xmlns:a16="http://schemas.microsoft.com/office/drawing/2014/main" id="{00000000-0008-0000-0D00-000004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52229" name="Check Box 5" hidden="1">
              <a:extLst>
                <a:ext uri="{63B3BB69-23CF-44E3-9099-C40C66FF867C}">
                  <a14:compatExt spid="_x0000_s52229"/>
                </a:ext>
                <a:ext uri="{FF2B5EF4-FFF2-40B4-BE49-F238E27FC236}">
                  <a16:creationId xmlns:a16="http://schemas.microsoft.com/office/drawing/2014/main" id="{00000000-0008-0000-0D00-000005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52230" name="Check Box 6" hidden="1">
              <a:extLst>
                <a:ext uri="{63B3BB69-23CF-44E3-9099-C40C66FF867C}">
                  <a14:compatExt spid="_x0000_s52230"/>
                </a:ext>
                <a:ext uri="{FF2B5EF4-FFF2-40B4-BE49-F238E27FC236}">
                  <a16:creationId xmlns:a16="http://schemas.microsoft.com/office/drawing/2014/main" id="{00000000-0008-0000-0D00-000006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52231" name="Check Box 7" hidden="1">
              <a:extLst>
                <a:ext uri="{63B3BB69-23CF-44E3-9099-C40C66FF867C}">
                  <a14:compatExt spid="_x0000_s52231"/>
                </a:ext>
                <a:ext uri="{FF2B5EF4-FFF2-40B4-BE49-F238E27FC236}">
                  <a16:creationId xmlns:a16="http://schemas.microsoft.com/office/drawing/2014/main" id="{00000000-0008-0000-0D00-000007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52232" name="Check Box 8" hidden="1">
              <a:extLst>
                <a:ext uri="{63B3BB69-23CF-44E3-9099-C40C66FF867C}">
                  <a14:compatExt spid="_x0000_s52232"/>
                </a:ext>
                <a:ext uri="{FF2B5EF4-FFF2-40B4-BE49-F238E27FC236}">
                  <a16:creationId xmlns:a16="http://schemas.microsoft.com/office/drawing/2014/main" id="{00000000-0008-0000-0D00-000008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52233" name="Check Box 9" hidden="1">
              <a:extLst>
                <a:ext uri="{63B3BB69-23CF-44E3-9099-C40C66FF867C}">
                  <a14:compatExt spid="_x0000_s52233"/>
                </a:ext>
                <a:ext uri="{FF2B5EF4-FFF2-40B4-BE49-F238E27FC236}">
                  <a16:creationId xmlns:a16="http://schemas.microsoft.com/office/drawing/2014/main" id="{00000000-0008-0000-0D00-000009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2533650</xdr:colOff>
          <xdr:row>0</xdr:row>
          <xdr:rowOff>400050</xdr:rowOff>
        </xdr:from>
        <xdr:to>
          <xdr:col>1</xdr:col>
          <xdr:colOff>2895600</xdr:colOff>
          <xdr:row>2</xdr:row>
          <xdr:rowOff>30480</xdr:rowOff>
        </xdr:to>
        <xdr:sp macro="" textlink="">
          <xdr:nvSpPr>
            <xdr:cNvPr id="53249" name="Check Box 1" hidden="1">
              <a:extLst>
                <a:ext uri="{63B3BB69-23CF-44E3-9099-C40C66FF867C}">
                  <a14:compatExt spid="_x0000_s53249"/>
                </a:ext>
                <a:ext uri="{FF2B5EF4-FFF2-40B4-BE49-F238E27FC236}">
                  <a16:creationId xmlns:a16="http://schemas.microsoft.com/office/drawing/2014/main" id="{00000000-0008-0000-0E00-000001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53266" name="Check Box 18" hidden="1">
              <a:extLst>
                <a:ext uri="{63B3BB69-23CF-44E3-9099-C40C66FF867C}">
                  <a14:compatExt spid="_x0000_s53266"/>
                </a:ext>
                <a:ext uri="{FF2B5EF4-FFF2-40B4-BE49-F238E27FC236}">
                  <a16:creationId xmlns:a16="http://schemas.microsoft.com/office/drawing/2014/main" id="{00000000-0008-0000-0E00-000012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53267" name="Check Box 19" hidden="1">
              <a:extLst>
                <a:ext uri="{63B3BB69-23CF-44E3-9099-C40C66FF867C}">
                  <a14:compatExt spid="_x0000_s53267"/>
                </a:ext>
                <a:ext uri="{FF2B5EF4-FFF2-40B4-BE49-F238E27FC236}">
                  <a16:creationId xmlns:a16="http://schemas.microsoft.com/office/drawing/2014/main" id="{00000000-0008-0000-0E00-000013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53268" name="Check Box 20" hidden="1">
              <a:extLst>
                <a:ext uri="{63B3BB69-23CF-44E3-9099-C40C66FF867C}">
                  <a14:compatExt spid="_x0000_s53268"/>
                </a:ext>
                <a:ext uri="{FF2B5EF4-FFF2-40B4-BE49-F238E27FC236}">
                  <a16:creationId xmlns:a16="http://schemas.microsoft.com/office/drawing/2014/main" id="{00000000-0008-0000-0E00-000014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53269" name="Check Box 21" hidden="1">
              <a:extLst>
                <a:ext uri="{63B3BB69-23CF-44E3-9099-C40C66FF867C}">
                  <a14:compatExt spid="_x0000_s53269"/>
                </a:ext>
                <a:ext uri="{FF2B5EF4-FFF2-40B4-BE49-F238E27FC236}">
                  <a16:creationId xmlns:a16="http://schemas.microsoft.com/office/drawing/2014/main" id="{00000000-0008-0000-0E00-000015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53270" name="Check Box 22" hidden="1">
              <a:extLst>
                <a:ext uri="{63B3BB69-23CF-44E3-9099-C40C66FF867C}">
                  <a14:compatExt spid="_x0000_s53270"/>
                </a:ext>
                <a:ext uri="{FF2B5EF4-FFF2-40B4-BE49-F238E27FC236}">
                  <a16:creationId xmlns:a16="http://schemas.microsoft.com/office/drawing/2014/main" id="{00000000-0008-0000-0E00-000016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53271" name="Check Box 23" hidden="1">
              <a:extLst>
                <a:ext uri="{63B3BB69-23CF-44E3-9099-C40C66FF867C}">
                  <a14:compatExt spid="_x0000_s53271"/>
                </a:ext>
                <a:ext uri="{FF2B5EF4-FFF2-40B4-BE49-F238E27FC236}">
                  <a16:creationId xmlns:a16="http://schemas.microsoft.com/office/drawing/2014/main" id="{00000000-0008-0000-0E00-000017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53272" name="Check Box 24" hidden="1">
              <a:extLst>
                <a:ext uri="{63B3BB69-23CF-44E3-9099-C40C66FF867C}">
                  <a14:compatExt spid="_x0000_s53272"/>
                </a:ext>
                <a:ext uri="{FF2B5EF4-FFF2-40B4-BE49-F238E27FC236}">
                  <a16:creationId xmlns:a16="http://schemas.microsoft.com/office/drawing/2014/main" id="{00000000-0008-0000-0E00-000018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53273" name="Check Box 25" hidden="1">
              <a:extLst>
                <a:ext uri="{63B3BB69-23CF-44E3-9099-C40C66FF867C}">
                  <a14:compatExt spid="_x0000_s53273"/>
                </a:ext>
                <a:ext uri="{FF2B5EF4-FFF2-40B4-BE49-F238E27FC236}">
                  <a16:creationId xmlns:a16="http://schemas.microsoft.com/office/drawing/2014/main" id="{00000000-0008-0000-0E00-000019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2419350</xdr:colOff>
          <xdr:row>1</xdr:row>
          <xdr:rowOff>11430</xdr:rowOff>
        </xdr:from>
        <xdr:to>
          <xdr:col>1</xdr:col>
          <xdr:colOff>3230880</xdr:colOff>
          <xdr:row>2</xdr:row>
          <xdr:rowOff>19050</xdr:rowOff>
        </xdr:to>
        <xdr:sp macro="" textlink="">
          <xdr:nvSpPr>
            <xdr:cNvPr id="54273" name="Check Box 1" hidden="1">
              <a:extLst>
                <a:ext uri="{63B3BB69-23CF-44E3-9099-C40C66FF867C}">
                  <a14:compatExt spid="_x0000_s54273"/>
                </a:ext>
                <a:ext uri="{FF2B5EF4-FFF2-40B4-BE49-F238E27FC236}">
                  <a16:creationId xmlns:a16="http://schemas.microsoft.com/office/drawing/2014/main" id="{00000000-0008-0000-0F00-000001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F00-000002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F00-000003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F00-000004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F00-000005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F00-000006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F00-000007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F00-000008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F00-000009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2495550</xdr:colOff>
          <xdr:row>1</xdr:row>
          <xdr:rowOff>0</xdr:rowOff>
        </xdr:from>
        <xdr:to>
          <xdr:col>1</xdr:col>
          <xdr:colOff>3307080</xdr:colOff>
          <xdr:row>2</xdr:row>
          <xdr:rowOff>11430</xdr:rowOff>
        </xdr:to>
        <xdr:sp macro="" textlink="">
          <xdr:nvSpPr>
            <xdr:cNvPr id="55297" name="Check Box 1" hidden="1">
              <a:extLst>
                <a:ext uri="{63B3BB69-23CF-44E3-9099-C40C66FF867C}">
                  <a14:compatExt spid="_x0000_s55297"/>
                </a:ext>
                <a:ext uri="{FF2B5EF4-FFF2-40B4-BE49-F238E27FC236}">
                  <a16:creationId xmlns:a16="http://schemas.microsoft.com/office/drawing/2014/main" id="{00000000-0008-0000-1000-000001D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1000-000002D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1000-000003D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1000-000004D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1000-000005D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1000-000006D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1000-000007D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1000-000008D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1000-000009D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2506980</xdr:colOff>
          <xdr:row>1</xdr:row>
          <xdr:rowOff>11430</xdr:rowOff>
        </xdr:from>
        <xdr:to>
          <xdr:col>1</xdr:col>
          <xdr:colOff>3314700</xdr:colOff>
          <xdr:row>2</xdr:row>
          <xdr:rowOff>19050</xdr:rowOff>
        </xdr:to>
        <xdr:sp macro="" textlink="">
          <xdr:nvSpPr>
            <xdr:cNvPr id="56321" name="Check Box 1" hidden="1">
              <a:extLst>
                <a:ext uri="{63B3BB69-23CF-44E3-9099-C40C66FF867C}">
                  <a14:compatExt spid="_x0000_s56321"/>
                </a:ext>
                <a:ext uri="{FF2B5EF4-FFF2-40B4-BE49-F238E27FC236}">
                  <a16:creationId xmlns:a16="http://schemas.microsoft.com/office/drawing/2014/main" id="{00000000-0008-0000-1100-000001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1100-000002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1100-000003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1100-000004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1100-000005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1100-000006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1100-000007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1100-000008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1100-000009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2487930</xdr:colOff>
          <xdr:row>1</xdr:row>
          <xdr:rowOff>11430</xdr:rowOff>
        </xdr:from>
        <xdr:to>
          <xdr:col>1</xdr:col>
          <xdr:colOff>3295650</xdr:colOff>
          <xdr:row>2</xdr:row>
          <xdr:rowOff>19050</xdr:rowOff>
        </xdr:to>
        <xdr:sp macro="" textlink="">
          <xdr:nvSpPr>
            <xdr:cNvPr id="57345" name="Check Box 1" hidden="1">
              <a:extLst>
                <a:ext uri="{63B3BB69-23CF-44E3-9099-C40C66FF867C}">
                  <a14:compatExt spid="_x0000_s57345"/>
                </a:ext>
                <a:ext uri="{FF2B5EF4-FFF2-40B4-BE49-F238E27FC236}">
                  <a16:creationId xmlns:a16="http://schemas.microsoft.com/office/drawing/2014/main" id="{00000000-0008-0000-1200-000001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1200-000002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1200-000003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1200-000004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1200-000005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1200-000006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1200-000007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1200-000008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1200-000009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2495550</xdr:colOff>
          <xdr:row>1</xdr:row>
          <xdr:rowOff>0</xdr:rowOff>
        </xdr:from>
        <xdr:to>
          <xdr:col>1</xdr:col>
          <xdr:colOff>3307080</xdr:colOff>
          <xdr:row>2</xdr:row>
          <xdr:rowOff>11430</xdr:rowOff>
        </xdr:to>
        <xdr:sp macro="" textlink="">
          <xdr:nvSpPr>
            <xdr:cNvPr id="58369" name="Check Box 1" hidden="1">
              <a:extLst>
                <a:ext uri="{63B3BB69-23CF-44E3-9099-C40C66FF867C}">
                  <a14:compatExt spid="_x0000_s58369"/>
                </a:ext>
                <a:ext uri="{FF2B5EF4-FFF2-40B4-BE49-F238E27FC236}">
                  <a16:creationId xmlns:a16="http://schemas.microsoft.com/office/drawing/2014/main" id="{00000000-0008-0000-1300-000001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1300-000002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1300-000003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1300-000004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1300-000005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1300-000006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1300-000007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1300-000008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1300-000009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2457450</xdr:colOff>
          <xdr:row>1</xdr:row>
          <xdr:rowOff>0</xdr:rowOff>
        </xdr:from>
        <xdr:to>
          <xdr:col>1</xdr:col>
          <xdr:colOff>3268980</xdr:colOff>
          <xdr:row>2</xdr:row>
          <xdr:rowOff>11430</xdr:rowOff>
        </xdr:to>
        <xdr:sp macro="" textlink="">
          <xdr:nvSpPr>
            <xdr:cNvPr id="59393" name="Check Box 1" hidden="1">
              <a:extLst>
                <a:ext uri="{63B3BB69-23CF-44E3-9099-C40C66FF867C}">
                  <a14:compatExt spid="_x0000_s59393"/>
                </a:ext>
                <a:ext uri="{FF2B5EF4-FFF2-40B4-BE49-F238E27FC236}">
                  <a16:creationId xmlns:a16="http://schemas.microsoft.com/office/drawing/2014/main" id="{00000000-0008-0000-1400-00000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59394" name="Check Box 2" hidden="1">
              <a:extLst>
                <a:ext uri="{63B3BB69-23CF-44E3-9099-C40C66FF867C}">
                  <a14:compatExt spid="_x0000_s59394"/>
                </a:ext>
                <a:ext uri="{FF2B5EF4-FFF2-40B4-BE49-F238E27FC236}">
                  <a16:creationId xmlns:a16="http://schemas.microsoft.com/office/drawing/2014/main" id="{00000000-0008-0000-1400-000002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59395" name="Check Box 3" hidden="1">
              <a:extLst>
                <a:ext uri="{63B3BB69-23CF-44E3-9099-C40C66FF867C}">
                  <a14:compatExt spid="_x0000_s59395"/>
                </a:ext>
                <a:ext uri="{FF2B5EF4-FFF2-40B4-BE49-F238E27FC236}">
                  <a16:creationId xmlns:a16="http://schemas.microsoft.com/office/drawing/2014/main" id="{00000000-0008-0000-1400-00000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59396" name="Check Box 4" hidden="1">
              <a:extLst>
                <a:ext uri="{63B3BB69-23CF-44E3-9099-C40C66FF867C}">
                  <a14:compatExt spid="_x0000_s59396"/>
                </a:ext>
                <a:ext uri="{FF2B5EF4-FFF2-40B4-BE49-F238E27FC236}">
                  <a16:creationId xmlns:a16="http://schemas.microsoft.com/office/drawing/2014/main" id="{00000000-0008-0000-1400-000004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59397" name="Check Box 5" hidden="1">
              <a:extLst>
                <a:ext uri="{63B3BB69-23CF-44E3-9099-C40C66FF867C}">
                  <a14:compatExt spid="_x0000_s59397"/>
                </a:ext>
                <a:ext uri="{FF2B5EF4-FFF2-40B4-BE49-F238E27FC236}">
                  <a16:creationId xmlns:a16="http://schemas.microsoft.com/office/drawing/2014/main" id="{00000000-0008-0000-1400-000005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59398" name="Check Box 6" hidden="1">
              <a:extLst>
                <a:ext uri="{63B3BB69-23CF-44E3-9099-C40C66FF867C}">
                  <a14:compatExt spid="_x0000_s59398"/>
                </a:ext>
                <a:ext uri="{FF2B5EF4-FFF2-40B4-BE49-F238E27FC236}">
                  <a16:creationId xmlns:a16="http://schemas.microsoft.com/office/drawing/2014/main" id="{00000000-0008-0000-1400-000006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59399" name="Check Box 7" hidden="1">
              <a:extLst>
                <a:ext uri="{63B3BB69-23CF-44E3-9099-C40C66FF867C}">
                  <a14:compatExt spid="_x0000_s59399"/>
                </a:ext>
                <a:ext uri="{FF2B5EF4-FFF2-40B4-BE49-F238E27FC236}">
                  <a16:creationId xmlns:a16="http://schemas.microsoft.com/office/drawing/2014/main" id="{00000000-0008-0000-1400-000007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59400" name="Check Box 8" hidden="1">
              <a:extLst>
                <a:ext uri="{63B3BB69-23CF-44E3-9099-C40C66FF867C}">
                  <a14:compatExt spid="_x0000_s59400"/>
                </a:ext>
                <a:ext uri="{FF2B5EF4-FFF2-40B4-BE49-F238E27FC236}">
                  <a16:creationId xmlns:a16="http://schemas.microsoft.com/office/drawing/2014/main" id="{00000000-0008-0000-1400-000008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59401" name="Check Box 9" hidden="1">
              <a:extLst>
                <a:ext uri="{63B3BB69-23CF-44E3-9099-C40C66FF867C}">
                  <a14:compatExt spid="_x0000_s59401"/>
                </a:ext>
                <a:ext uri="{FF2B5EF4-FFF2-40B4-BE49-F238E27FC236}">
                  <a16:creationId xmlns:a16="http://schemas.microsoft.com/office/drawing/2014/main" id="{00000000-0008-0000-1400-000009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2506980</xdr:colOff>
          <xdr:row>0</xdr:row>
          <xdr:rowOff>419100</xdr:rowOff>
        </xdr:from>
        <xdr:to>
          <xdr:col>1</xdr:col>
          <xdr:colOff>3314700</xdr:colOff>
          <xdr:row>2</xdr:row>
          <xdr:rowOff>0</xdr:rowOff>
        </xdr:to>
        <xdr:sp macro="" textlink="">
          <xdr:nvSpPr>
            <xdr:cNvPr id="60417" name="Check Box 1" hidden="1">
              <a:extLst>
                <a:ext uri="{63B3BB69-23CF-44E3-9099-C40C66FF867C}">
                  <a14:compatExt spid="_x0000_s60417"/>
                </a:ext>
                <a:ext uri="{FF2B5EF4-FFF2-40B4-BE49-F238E27FC236}">
                  <a16:creationId xmlns:a16="http://schemas.microsoft.com/office/drawing/2014/main" id="{00000000-0008-0000-1500-000001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60418" name="Check Box 2" hidden="1">
              <a:extLst>
                <a:ext uri="{63B3BB69-23CF-44E3-9099-C40C66FF867C}">
                  <a14:compatExt spid="_x0000_s60418"/>
                </a:ext>
                <a:ext uri="{FF2B5EF4-FFF2-40B4-BE49-F238E27FC236}">
                  <a16:creationId xmlns:a16="http://schemas.microsoft.com/office/drawing/2014/main" id="{00000000-0008-0000-1500-000002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60419" name="Check Box 3" hidden="1">
              <a:extLst>
                <a:ext uri="{63B3BB69-23CF-44E3-9099-C40C66FF867C}">
                  <a14:compatExt spid="_x0000_s60419"/>
                </a:ext>
                <a:ext uri="{FF2B5EF4-FFF2-40B4-BE49-F238E27FC236}">
                  <a16:creationId xmlns:a16="http://schemas.microsoft.com/office/drawing/2014/main" id="{00000000-0008-0000-1500-000003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60420" name="Check Box 4" hidden="1">
              <a:extLst>
                <a:ext uri="{63B3BB69-23CF-44E3-9099-C40C66FF867C}">
                  <a14:compatExt spid="_x0000_s60420"/>
                </a:ext>
                <a:ext uri="{FF2B5EF4-FFF2-40B4-BE49-F238E27FC236}">
                  <a16:creationId xmlns:a16="http://schemas.microsoft.com/office/drawing/2014/main" id="{00000000-0008-0000-1500-000004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60421" name="Check Box 5" hidden="1">
              <a:extLst>
                <a:ext uri="{63B3BB69-23CF-44E3-9099-C40C66FF867C}">
                  <a14:compatExt spid="_x0000_s60421"/>
                </a:ext>
                <a:ext uri="{FF2B5EF4-FFF2-40B4-BE49-F238E27FC236}">
                  <a16:creationId xmlns:a16="http://schemas.microsoft.com/office/drawing/2014/main" id="{00000000-0008-0000-1500-000005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60422" name="Check Box 6" hidden="1">
              <a:extLst>
                <a:ext uri="{63B3BB69-23CF-44E3-9099-C40C66FF867C}">
                  <a14:compatExt spid="_x0000_s60422"/>
                </a:ext>
                <a:ext uri="{FF2B5EF4-FFF2-40B4-BE49-F238E27FC236}">
                  <a16:creationId xmlns:a16="http://schemas.microsoft.com/office/drawing/2014/main" id="{00000000-0008-0000-1500-000006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60423" name="Check Box 7" hidden="1">
              <a:extLst>
                <a:ext uri="{63B3BB69-23CF-44E3-9099-C40C66FF867C}">
                  <a14:compatExt spid="_x0000_s60423"/>
                </a:ext>
                <a:ext uri="{FF2B5EF4-FFF2-40B4-BE49-F238E27FC236}">
                  <a16:creationId xmlns:a16="http://schemas.microsoft.com/office/drawing/2014/main" id="{00000000-0008-0000-1500-000007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60424" name="Check Box 8" hidden="1">
              <a:extLst>
                <a:ext uri="{63B3BB69-23CF-44E3-9099-C40C66FF867C}">
                  <a14:compatExt spid="_x0000_s60424"/>
                </a:ext>
                <a:ext uri="{FF2B5EF4-FFF2-40B4-BE49-F238E27FC236}">
                  <a16:creationId xmlns:a16="http://schemas.microsoft.com/office/drawing/2014/main" id="{00000000-0008-0000-1500-000008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60425" name="Check Box 9" hidden="1">
              <a:extLst>
                <a:ext uri="{63B3BB69-23CF-44E3-9099-C40C66FF867C}">
                  <a14:compatExt spid="_x0000_s60425"/>
                </a:ext>
                <a:ext uri="{FF2B5EF4-FFF2-40B4-BE49-F238E27FC236}">
                  <a16:creationId xmlns:a16="http://schemas.microsoft.com/office/drawing/2014/main" id="{00000000-0008-0000-1500-000009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2468880</xdr:colOff>
          <xdr:row>1</xdr:row>
          <xdr:rowOff>11430</xdr:rowOff>
        </xdr:from>
        <xdr:to>
          <xdr:col>1</xdr:col>
          <xdr:colOff>3276600</xdr:colOff>
          <xdr:row>2</xdr:row>
          <xdr:rowOff>19050</xdr:rowOff>
        </xdr:to>
        <xdr:sp macro="" textlink="">
          <xdr:nvSpPr>
            <xdr:cNvPr id="61441" name="Check Box 1" hidden="1">
              <a:extLst>
                <a:ext uri="{63B3BB69-23CF-44E3-9099-C40C66FF867C}">
                  <a14:compatExt spid="_x0000_s61441"/>
                </a:ext>
                <a:ext uri="{FF2B5EF4-FFF2-40B4-BE49-F238E27FC236}">
                  <a16:creationId xmlns:a16="http://schemas.microsoft.com/office/drawing/2014/main" id="{00000000-0008-0000-1600-000001F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61442" name="Check Box 2" hidden="1">
              <a:extLst>
                <a:ext uri="{63B3BB69-23CF-44E3-9099-C40C66FF867C}">
                  <a14:compatExt spid="_x0000_s61442"/>
                </a:ext>
                <a:ext uri="{FF2B5EF4-FFF2-40B4-BE49-F238E27FC236}">
                  <a16:creationId xmlns:a16="http://schemas.microsoft.com/office/drawing/2014/main" id="{00000000-0008-0000-1600-000002F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61443" name="Check Box 3" hidden="1">
              <a:extLst>
                <a:ext uri="{63B3BB69-23CF-44E3-9099-C40C66FF867C}">
                  <a14:compatExt spid="_x0000_s61443"/>
                </a:ext>
                <a:ext uri="{FF2B5EF4-FFF2-40B4-BE49-F238E27FC236}">
                  <a16:creationId xmlns:a16="http://schemas.microsoft.com/office/drawing/2014/main" id="{00000000-0008-0000-1600-000003F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61444" name="Check Box 4" hidden="1">
              <a:extLst>
                <a:ext uri="{63B3BB69-23CF-44E3-9099-C40C66FF867C}">
                  <a14:compatExt spid="_x0000_s61444"/>
                </a:ext>
                <a:ext uri="{FF2B5EF4-FFF2-40B4-BE49-F238E27FC236}">
                  <a16:creationId xmlns:a16="http://schemas.microsoft.com/office/drawing/2014/main" id="{00000000-0008-0000-1600-000004F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61445" name="Check Box 5" hidden="1">
              <a:extLst>
                <a:ext uri="{63B3BB69-23CF-44E3-9099-C40C66FF867C}">
                  <a14:compatExt spid="_x0000_s61445"/>
                </a:ext>
                <a:ext uri="{FF2B5EF4-FFF2-40B4-BE49-F238E27FC236}">
                  <a16:creationId xmlns:a16="http://schemas.microsoft.com/office/drawing/2014/main" id="{00000000-0008-0000-1600-000005F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61446" name="Check Box 6" hidden="1">
              <a:extLst>
                <a:ext uri="{63B3BB69-23CF-44E3-9099-C40C66FF867C}">
                  <a14:compatExt spid="_x0000_s61446"/>
                </a:ext>
                <a:ext uri="{FF2B5EF4-FFF2-40B4-BE49-F238E27FC236}">
                  <a16:creationId xmlns:a16="http://schemas.microsoft.com/office/drawing/2014/main" id="{00000000-0008-0000-1600-000006F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61447" name="Check Box 7" hidden="1">
              <a:extLst>
                <a:ext uri="{63B3BB69-23CF-44E3-9099-C40C66FF867C}">
                  <a14:compatExt spid="_x0000_s61447"/>
                </a:ext>
                <a:ext uri="{FF2B5EF4-FFF2-40B4-BE49-F238E27FC236}">
                  <a16:creationId xmlns:a16="http://schemas.microsoft.com/office/drawing/2014/main" id="{00000000-0008-0000-1600-000007F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61448" name="Check Box 8" hidden="1">
              <a:extLst>
                <a:ext uri="{63B3BB69-23CF-44E3-9099-C40C66FF867C}">
                  <a14:compatExt spid="_x0000_s61448"/>
                </a:ext>
                <a:ext uri="{FF2B5EF4-FFF2-40B4-BE49-F238E27FC236}">
                  <a16:creationId xmlns:a16="http://schemas.microsoft.com/office/drawing/2014/main" id="{00000000-0008-0000-1600-000008F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61449" name="Check Box 9" hidden="1">
              <a:extLst>
                <a:ext uri="{63B3BB69-23CF-44E3-9099-C40C66FF867C}">
                  <a14:compatExt spid="_x0000_s61449"/>
                </a:ext>
                <a:ext uri="{FF2B5EF4-FFF2-40B4-BE49-F238E27FC236}">
                  <a16:creationId xmlns:a16="http://schemas.microsoft.com/office/drawing/2014/main" id="{00000000-0008-0000-1600-000009F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2487930</xdr:colOff>
          <xdr:row>1</xdr:row>
          <xdr:rowOff>0</xdr:rowOff>
        </xdr:from>
        <xdr:to>
          <xdr:col>1</xdr:col>
          <xdr:colOff>3295650</xdr:colOff>
          <xdr:row>2</xdr:row>
          <xdr:rowOff>11430</xdr:rowOff>
        </xdr:to>
        <xdr:sp macro="" textlink="">
          <xdr:nvSpPr>
            <xdr:cNvPr id="62465" name="Check Box 1" hidden="1">
              <a:extLst>
                <a:ext uri="{63B3BB69-23CF-44E3-9099-C40C66FF867C}">
                  <a14:compatExt spid="_x0000_s62465"/>
                </a:ext>
                <a:ext uri="{FF2B5EF4-FFF2-40B4-BE49-F238E27FC236}">
                  <a16:creationId xmlns:a16="http://schemas.microsoft.com/office/drawing/2014/main" id="{00000000-0008-0000-1700-000001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62466" name="Check Box 2" hidden="1">
              <a:extLst>
                <a:ext uri="{63B3BB69-23CF-44E3-9099-C40C66FF867C}">
                  <a14:compatExt spid="_x0000_s62466"/>
                </a:ext>
                <a:ext uri="{FF2B5EF4-FFF2-40B4-BE49-F238E27FC236}">
                  <a16:creationId xmlns:a16="http://schemas.microsoft.com/office/drawing/2014/main" id="{00000000-0008-0000-1700-000002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62467" name="Check Box 3" hidden="1">
              <a:extLst>
                <a:ext uri="{63B3BB69-23CF-44E3-9099-C40C66FF867C}">
                  <a14:compatExt spid="_x0000_s62467"/>
                </a:ext>
                <a:ext uri="{FF2B5EF4-FFF2-40B4-BE49-F238E27FC236}">
                  <a16:creationId xmlns:a16="http://schemas.microsoft.com/office/drawing/2014/main" id="{00000000-0008-0000-1700-000003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62468" name="Check Box 4" hidden="1">
              <a:extLst>
                <a:ext uri="{63B3BB69-23CF-44E3-9099-C40C66FF867C}">
                  <a14:compatExt spid="_x0000_s62468"/>
                </a:ext>
                <a:ext uri="{FF2B5EF4-FFF2-40B4-BE49-F238E27FC236}">
                  <a16:creationId xmlns:a16="http://schemas.microsoft.com/office/drawing/2014/main" id="{00000000-0008-0000-1700-000004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62469" name="Check Box 5" hidden="1">
              <a:extLst>
                <a:ext uri="{63B3BB69-23CF-44E3-9099-C40C66FF867C}">
                  <a14:compatExt spid="_x0000_s62469"/>
                </a:ext>
                <a:ext uri="{FF2B5EF4-FFF2-40B4-BE49-F238E27FC236}">
                  <a16:creationId xmlns:a16="http://schemas.microsoft.com/office/drawing/2014/main" id="{00000000-0008-0000-1700-000005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62470" name="Check Box 6" hidden="1">
              <a:extLst>
                <a:ext uri="{63B3BB69-23CF-44E3-9099-C40C66FF867C}">
                  <a14:compatExt spid="_x0000_s62470"/>
                </a:ext>
                <a:ext uri="{FF2B5EF4-FFF2-40B4-BE49-F238E27FC236}">
                  <a16:creationId xmlns:a16="http://schemas.microsoft.com/office/drawing/2014/main" id="{00000000-0008-0000-1700-000006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62471" name="Check Box 7" hidden="1">
              <a:extLst>
                <a:ext uri="{63B3BB69-23CF-44E3-9099-C40C66FF867C}">
                  <a14:compatExt spid="_x0000_s62471"/>
                </a:ext>
                <a:ext uri="{FF2B5EF4-FFF2-40B4-BE49-F238E27FC236}">
                  <a16:creationId xmlns:a16="http://schemas.microsoft.com/office/drawing/2014/main" id="{00000000-0008-0000-1700-000007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62472" name="Check Box 8" hidden="1">
              <a:extLst>
                <a:ext uri="{63B3BB69-23CF-44E3-9099-C40C66FF867C}">
                  <a14:compatExt spid="_x0000_s62472"/>
                </a:ext>
                <a:ext uri="{FF2B5EF4-FFF2-40B4-BE49-F238E27FC236}">
                  <a16:creationId xmlns:a16="http://schemas.microsoft.com/office/drawing/2014/main" id="{00000000-0008-0000-1700-000008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62473" name="Check Box 9" hidden="1">
              <a:extLst>
                <a:ext uri="{63B3BB69-23CF-44E3-9099-C40C66FF867C}">
                  <a14:compatExt spid="_x0000_s62473"/>
                </a:ext>
                <a:ext uri="{FF2B5EF4-FFF2-40B4-BE49-F238E27FC236}">
                  <a16:creationId xmlns:a16="http://schemas.microsoft.com/office/drawing/2014/main" id="{00000000-0008-0000-1700-000009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2506980</xdr:colOff>
          <xdr:row>1</xdr:row>
          <xdr:rowOff>0</xdr:rowOff>
        </xdr:from>
        <xdr:to>
          <xdr:col>1</xdr:col>
          <xdr:colOff>3314700</xdr:colOff>
          <xdr:row>2</xdr:row>
          <xdr:rowOff>11430</xdr:rowOff>
        </xdr:to>
        <xdr:sp macro="" textlink="">
          <xdr:nvSpPr>
            <xdr:cNvPr id="63489" name="Check Box 1" hidden="1">
              <a:extLst>
                <a:ext uri="{63B3BB69-23CF-44E3-9099-C40C66FF867C}">
                  <a14:compatExt spid="_x0000_s63489"/>
                </a:ext>
                <a:ext uri="{FF2B5EF4-FFF2-40B4-BE49-F238E27FC236}">
                  <a16:creationId xmlns:a16="http://schemas.microsoft.com/office/drawing/2014/main" id="{00000000-0008-0000-1800-000001F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1800-000002F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1800-000003F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1800-000004F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1800-000005F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1800-000006F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1800-000007F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1800-000008F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1800-000009F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2506980</xdr:colOff>
          <xdr:row>1</xdr:row>
          <xdr:rowOff>0</xdr:rowOff>
        </xdr:from>
        <xdr:to>
          <xdr:col>1</xdr:col>
          <xdr:colOff>3314700</xdr:colOff>
          <xdr:row>2</xdr:row>
          <xdr:rowOff>11430</xdr:rowOff>
        </xdr:to>
        <xdr:sp macro="" textlink="">
          <xdr:nvSpPr>
            <xdr:cNvPr id="64513" name="Check Box 1" hidden="1">
              <a:extLst>
                <a:ext uri="{63B3BB69-23CF-44E3-9099-C40C66FF867C}">
                  <a14:compatExt spid="_x0000_s64513"/>
                </a:ext>
                <a:ext uri="{FF2B5EF4-FFF2-40B4-BE49-F238E27FC236}">
                  <a16:creationId xmlns:a16="http://schemas.microsoft.com/office/drawing/2014/main" id="{00000000-0008-0000-1900-000001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1900-000002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1900-000003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1900-000004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1900-000005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1900-000006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1900-000007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1900-000008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1900-000009F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2545080</xdr:colOff>
          <xdr:row>0</xdr:row>
          <xdr:rowOff>361950</xdr:rowOff>
        </xdr:from>
        <xdr:to>
          <xdr:col>1</xdr:col>
          <xdr:colOff>3352800</xdr:colOff>
          <xdr:row>2</xdr:row>
          <xdr:rowOff>0</xdr:rowOff>
        </xdr:to>
        <xdr:sp macro="" textlink="">
          <xdr:nvSpPr>
            <xdr:cNvPr id="65537" name="Check Box 1" hidden="1">
              <a:extLst>
                <a:ext uri="{63B3BB69-23CF-44E3-9099-C40C66FF867C}">
                  <a14:compatExt spid="_x0000_s65537"/>
                </a:ext>
                <a:ext uri="{FF2B5EF4-FFF2-40B4-BE49-F238E27FC236}">
                  <a16:creationId xmlns:a16="http://schemas.microsoft.com/office/drawing/2014/main" id="{00000000-0008-0000-1A00-0000010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65538" name="Check Box 2" hidden="1">
              <a:extLst>
                <a:ext uri="{63B3BB69-23CF-44E3-9099-C40C66FF867C}">
                  <a14:compatExt spid="_x0000_s65538"/>
                </a:ext>
                <a:ext uri="{FF2B5EF4-FFF2-40B4-BE49-F238E27FC236}">
                  <a16:creationId xmlns:a16="http://schemas.microsoft.com/office/drawing/2014/main" id="{00000000-0008-0000-1A00-0000020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1A00-0000030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65540" name="Check Box 4" hidden="1">
              <a:extLst>
                <a:ext uri="{63B3BB69-23CF-44E3-9099-C40C66FF867C}">
                  <a14:compatExt spid="_x0000_s65540"/>
                </a:ext>
                <a:ext uri="{FF2B5EF4-FFF2-40B4-BE49-F238E27FC236}">
                  <a16:creationId xmlns:a16="http://schemas.microsoft.com/office/drawing/2014/main" id="{00000000-0008-0000-1A00-0000040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65541" name="Check Box 5" hidden="1">
              <a:extLst>
                <a:ext uri="{63B3BB69-23CF-44E3-9099-C40C66FF867C}">
                  <a14:compatExt spid="_x0000_s65541"/>
                </a:ext>
                <a:ext uri="{FF2B5EF4-FFF2-40B4-BE49-F238E27FC236}">
                  <a16:creationId xmlns:a16="http://schemas.microsoft.com/office/drawing/2014/main" id="{00000000-0008-0000-1A00-0000050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65542" name="Check Box 6" hidden="1">
              <a:extLst>
                <a:ext uri="{63B3BB69-23CF-44E3-9099-C40C66FF867C}">
                  <a14:compatExt spid="_x0000_s65542"/>
                </a:ext>
                <a:ext uri="{FF2B5EF4-FFF2-40B4-BE49-F238E27FC236}">
                  <a16:creationId xmlns:a16="http://schemas.microsoft.com/office/drawing/2014/main" id="{00000000-0008-0000-1A00-0000060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65543" name="Check Box 7" hidden="1">
              <a:extLst>
                <a:ext uri="{63B3BB69-23CF-44E3-9099-C40C66FF867C}">
                  <a14:compatExt spid="_x0000_s65543"/>
                </a:ext>
                <a:ext uri="{FF2B5EF4-FFF2-40B4-BE49-F238E27FC236}">
                  <a16:creationId xmlns:a16="http://schemas.microsoft.com/office/drawing/2014/main" id="{00000000-0008-0000-1A00-0000070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65544" name="Check Box 8" hidden="1">
              <a:extLst>
                <a:ext uri="{63B3BB69-23CF-44E3-9099-C40C66FF867C}">
                  <a14:compatExt spid="_x0000_s65544"/>
                </a:ext>
                <a:ext uri="{FF2B5EF4-FFF2-40B4-BE49-F238E27FC236}">
                  <a16:creationId xmlns:a16="http://schemas.microsoft.com/office/drawing/2014/main" id="{00000000-0008-0000-1A00-0000080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65545" name="Check Box 9" hidden="1">
              <a:extLst>
                <a:ext uri="{63B3BB69-23CF-44E3-9099-C40C66FF867C}">
                  <a14:compatExt spid="_x0000_s65545"/>
                </a:ext>
                <a:ext uri="{FF2B5EF4-FFF2-40B4-BE49-F238E27FC236}">
                  <a16:creationId xmlns:a16="http://schemas.microsoft.com/office/drawing/2014/main" id="{00000000-0008-0000-1A00-0000090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628650</xdr:colOff>
          <xdr:row>6</xdr:row>
          <xdr:rowOff>68580</xdr:rowOff>
        </xdr:from>
        <xdr:to>
          <xdr:col>3</xdr:col>
          <xdr:colOff>30480</xdr:colOff>
          <xdr:row>6</xdr:row>
          <xdr:rowOff>495300</xdr:rowOff>
        </xdr:to>
        <xdr:sp macro="" textlink="">
          <xdr:nvSpPr>
            <xdr:cNvPr id="34817" name="Check Box 1" hidden="1">
              <a:extLst>
                <a:ext uri="{63B3BB69-23CF-44E3-9099-C40C66FF867C}">
                  <a14:compatExt spid="_x0000_s34817"/>
                </a:ext>
                <a:ext uri="{FF2B5EF4-FFF2-40B4-BE49-F238E27FC236}">
                  <a16:creationId xmlns:a16="http://schemas.microsoft.com/office/drawing/2014/main" id="{00000000-0008-0000-1B00-00000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7</xdr:row>
          <xdr:rowOff>163830</xdr:rowOff>
        </xdr:from>
        <xdr:to>
          <xdr:col>3</xdr:col>
          <xdr:colOff>11430</xdr:colOff>
          <xdr:row>7</xdr:row>
          <xdr:rowOff>514350</xdr:rowOff>
        </xdr:to>
        <xdr:sp macro="" textlink="">
          <xdr:nvSpPr>
            <xdr:cNvPr id="34818" name="Check Box 2" hidden="1">
              <a:extLst>
                <a:ext uri="{63B3BB69-23CF-44E3-9099-C40C66FF867C}">
                  <a14:compatExt spid="_x0000_s34818"/>
                </a:ext>
                <a:ext uri="{FF2B5EF4-FFF2-40B4-BE49-F238E27FC236}">
                  <a16:creationId xmlns:a16="http://schemas.microsoft.com/office/drawing/2014/main" id="{00000000-0008-0000-1B00-00000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621030</xdr:colOff>
          <xdr:row>8</xdr:row>
          <xdr:rowOff>152400</xdr:rowOff>
        </xdr:from>
        <xdr:to>
          <xdr:col>3</xdr:col>
          <xdr:colOff>19050</xdr:colOff>
          <xdr:row>8</xdr:row>
          <xdr:rowOff>659130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1B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2640330</xdr:colOff>
          <xdr:row>1</xdr:row>
          <xdr:rowOff>49530</xdr:rowOff>
        </xdr:from>
        <xdr:to>
          <xdr:col>1</xdr:col>
          <xdr:colOff>2971800</xdr:colOff>
          <xdr:row>2</xdr:row>
          <xdr:rowOff>0</xdr:rowOff>
        </xdr:to>
        <xdr:sp macro="" textlink="">
          <xdr:nvSpPr>
            <xdr:cNvPr id="34821" name="Check Box 5" hidden="1">
              <a:extLst>
                <a:ext uri="{63B3BB69-23CF-44E3-9099-C40C66FF867C}">
                  <a14:compatExt spid="_x0000_s34821"/>
                </a:ext>
                <a:ext uri="{FF2B5EF4-FFF2-40B4-BE49-F238E27FC236}">
                  <a16:creationId xmlns:a16="http://schemas.microsoft.com/office/drawing/2014/main" id="{00000000-0008-0000-1B00-000005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190500</xdr:rowOff>
        </xdr:from>
        <xdr:to>
          <xdr:col>0</xdr:col>
          <xdr:colOff>963930</xdr:colOff>
          <xdr:row>21</xdr:row>
          <xdr:rowOff>0</xdr:rowOff>
        </xdr:to>
        <xdr:sp macro="" textlink="">
          <xdr:nvSpPr>
            <xdr:cNvPr id="34822" name="Check Box 6" hidden="1">
              <a:extLst>
                <a:ext uri="{63B3BB69-23CF-44E3-9099-C40C66FF867C}">
                  <a14:compatExt spid="_x0000_s34822"/>
                </a:ext>
                <a:ext uri="{FF2B5EF4-FFF2-40B4-BE49-F238E27FC236}">
                  <a16:creationId xmlns:a16="http://schemas.microsoft.com/office/drawing/2014/main" id="{00000000-0008-0000-1B00-000006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182880</xdr:rowOff>
        </xdr:from>
        <xdr:to>
          <xdr:col>0</xdr:col>
          <xdr:colOff>906780</xdr:colOff>
          <xdr:row>22</xdr:row>
          <xdr:rowOff>0</xdr:rowOff>
        </xdr:to>
        <xdr:sp macro="" textlink="">
          <xdr:nvSpPr>
            <xdr:cNvPr id="34823" name="Check Box 7" hidden="1">
              <a:extLst>
                <a:ext uri="{63B3BB69-23CF-44E3-9099-C40C66FF867C}">
                  <a14:compatExt spid="_x0000_s34823"/>
                </a:ext>
                <a:ext uri="{FF2B5EF4-FFF2-40B4-BE49-F238E27FC236}">
                  <a16:creationId xmlns:a16="http://schemas.microsoft.com/office/drawing/2014/main" id="{00000000-0008-0000-1B00-000007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1</xdr:col>
          <xdr:colOff>392430</xdr:colOff>
          <xdr:row>23</xdr:row>
          <xdr:rowOff>0</xdr:rowOff>
        </xdr:to>
        <xdr:sp macro="" textlink="">
          <xdr:nvSpPr>
            <xdr:cNvPr id="34824" name="Check Box 8" hidden="1">
              <a:extLst>
                <a:ext uri="{63B3BB69-23CF-44E3-9099-C40C66FF867C}">
                  <a14:compatExt spid="_x0000_s34824"/>
                </a:ext>
                <a:ext uri="{FF2B5EF4-FFF2-40B4-BE49-F238E27FC236}">
                  <a16:creationId xmlns:a16="http://schemas.microsoft.com/office/drawing/2014/main" id="{00000000-0008-0000-1B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11430</xdr:rowOff>
        </xdr:from>
        <xdr:to>
          <xdr:col>0</xdr:col>
          <xdr:colOff>800100</xdr:colOff>
          <xdr:row>24</xdr:row>
          <xdr:rowOff>19050</xdr:rowOff>
        </xdr:to>
        <xdr:sp macro="" textlink="">
          <xdr:nvSpPr>
            <xdr:cNvPr id="34825" name="Check Box 9" hidden="1">
              <a:extLst>
                <a:ext uri="{63B3BB69-23CF-44E3-9099-C40C66FF867C}">
                  <a14:compatExt spid="_x0000_s34825"/>
                </a:ext>
                <a:ext uri="{FF2B5EF4-FFF2-40B4-BE49-F238E27FC236}">
                  <a16:creationId xmlns:a16="http://schemas.microsoft.com/office/drawing/2014/main" id="{00000000-0008-0000-1B00-000009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11430</xdr:rowOff>
        </xdr:from>
        <xdr:to>
          <xdr:col>0</xdr:col>
          <xdr:colOff>800100</xdr:colOff>
          <xdr:row>25</xdr:row>
          <xdr:rowOff>19050</xdr:rowOff>
        </xdr:to>
        <xdr:sp macro="" textlink="">
          <xdr:nvSpPr>
            <xdr:cNvPr id="34826" name="Check Box 10" hidden="1">
              <a:extLst>
                <a:ext uri="{63B3BB69-23CF-44E3-9099-C40C66FF867C}">
                  <a14:compatExt spid="_x0000_s34826"/>
                </a:ext>
                <a:ext uri="{FF2B5EF4-FFF2-40B4-BE49-F238E27FC236}">
                  <a16:creationId xmlns:a16="http://schemas.microsoft.com/office/drawing/2014/main" id="{00000000-0008-0000-1B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201930</xdr:rowOff>
        </xdr:from>
        <xdr:to>
          <xdr:col>0</xdr:col>
          <xdr:colOff>1097280</xdr:colOff>
          <xdr:row>26</xdr:row>
          <xdr:rowOff>19050</xdr:rowOff>
        </xdr:to>
        <xdr:sp macro="" textlink="">
          <xdr:nvSpPr>
            <xdr:cNvPr id="34827" name="Check Box 11" hidden="1">
              <a:extLst>
                <a:ext uri="{63B3BB69-23CF-44E3-9099-C40C66FF867C}">
                  <a14:compatExt spid="_x0000_s34827"/>
                </a:ext>
                <a:ext uri="{FF2B5EF4-FFF2-40B4-BE49-F238E27FC236}">
                  <a16:creationId xmlns:a16="http://schemas.microsoft.com/office/drawing/2014/main" id="{00000000-0008-0000-1B00-00000B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1123950</xdr:colOff>
          <xdr:row>27</xdr:row>
          <xdr:rowOff>11430</xdr:rowOff>
        </xdr:to>
        <xdr:sp macro="" textlink="">
          <xdr:nvSpPr>
            <xdr:cNvPr id="34828" name="Check Box 12" hidden="1">
              <a:extLst>
                <a:ext uri="{63B3BB69-23CF-44E3-9099-C40C66FF867C}">
                  <a14:compatExt spid="_x0000_s34828"/>
                </a:ext>
                <a:ext uri="{FF2B5EF4-FFF2-40B4-BE49-F238E27FC236}">
                  <a16:creationId xmlns:a16="http://schemas.microsoft.com/office/drawing/2014/main" id="{00000000-0008-0000-1B00-00000C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857250</xdr:colOff>
          <xdr:row>28</xdr:row>
          <xdr:rowOff>11430</xdr:rowOff>
        </xdr:to>
        <xdr:sp macro="" textlink="">
          <xdr:nvSpPr>
            <xdr:cNvPr id="34829" name="Check Box 13" hidden="1">
              <a:extLst>
                <a:ext uri="{63B3BB69-23CF-44E3-9099-C40C66FF867C}">
                  <a14:compatExt spid="_x0000_s34829"/>
                </a:ext>
                <a:ext uri="{FF2B5EF4-FFF2-40B4-BE49-F238E27FC236}">
                  <a16:creationId xmlns:a16="http://schemas.microsoft.com/office/drawing/2014/main" id="{00000000-0008-0000-1B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2640330</xdr:colOff>
          <xdr:row>1</xdr:row>
          <xdr:rowOff>19050</xdr:rowOff>
        </xdr:from>
        <xdr:to>
          <xdr:col>1</xdr:col>
          <xdr:colOff>2945130</xdr:colOff>
          <xdr:row>2</xdr:row>
          <xdr:rowOff>38100</xdr:rowOff>
        </xdr:to>
        <xdr:sp macro="" textlink="">
          <xdr:nvSpPr>
            <xdr:cNvPr id="73729" name="Check Box 1" hidden="1">
              <a:extLst>
                <a:ext uri="{63B3BB69-23CF-44E3-9099-C40C66FF867C}">
                  <a14:compatExt spid="_x0000_s73729"/>
                </a:ext>
                <a:ext uri="{FF2B5EF4-FFF2-40B4-BE49-F238E27FC236}">
                  <a16:creationId xmlns:a16="http://schemas.microsoft.com/office/drawing/2014/main" id="{00000000-0008-0000-1C00-000001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73730" name="Check Box 2" hidden="1">
              <a:extLst>
                <a:ext uri="{63B3BB69-23CF-44E3-9099-C40C66FF867C}">
                  <a14:compatExt spid="_x0000_s73730"/>
                </a:ext>
                <a:ext uri="{FF2B5EF4-FFF2-40B4-BE49-F238E27FC236}">
                  <a16:creationId xmlns:a16="http://schemas.microsoft.com/office/drawing/2014/main" id="{00000000-0008-0000-1C00-000002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73731" name="Check Box 3" hidden="1">
              <a:extLst>
                <a:ext uri="{63B3BB69-23CF-44E3-9099-C40C66FF867C}">
                  <a14:compatExt spid="_x0000_s73731"/>
                </a:ext>
                <a:ext uri="{FF2B5EF4-FFF2-40B4-BE49-F238E27FC236}">
                  <a16:creationId xmlns:a16="http://schemas.microsoft.com/office/drawing/2014/main" id="{00000000-0008-0000-1C00-000003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73732" name="Check Box 4" hidden="1">
              <a:extLst>
                <a:ext uri="{63B3BB69-23CF-44E3-9099-C40C66FF867C}">
                  <a14:compatExt spid="_x0000_s73732"/>
                </a:ext>
                <a:ext uri="{FF2B5EF4-FFF2-40B4-BE49-F238E27FC236}">
                  <a16:creationId xmlns:a16="http://schemas.microsoft.com/office/drawing/2014/main" id="{00000000-0008-0000-1C00-000004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73733" name="Check Box 5" hidden="1">
              <a:extLst>
                <a:ext uri="{63B3BB69-23CF-44E3-9099-C40C66FF867C}">
                  <a14:compatExt spid="_x0000_s73733"/>
                </a:ext>
                <a:ext uri="{FF2B5EF4-FFF2-40B4-BE49-F238E27FC236}">
                  <a16:creationId xmlns:a16="http://schemas.microsoft.com/office/drawing/2014/main" id="{00000000-0008-0000-1C00-000005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73734" name="Check Box 6" hidden="1">
              <a:extLst>
                <a:ext uri="{63B3BB69-23CF-44E3-9099-C40C66FF867C}">
                  <a14:compatExt spid="_x0000_s73734"/>
                </a:ext>
                <a:ext uri="{FF2B5EF4-FFF2-40B4-BE49-F238E27FC236}">
                  <a16:creationId xmlns:a16="http://schemas.microsoft.com/office/drawing/2014/main" id="{00000000-0008-0000-1C00-000006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73735" name="Check Box 7" hidden="1">
              <a:extLst>
                <a:ext uri="{63B3BB69-23CF-44E3-9099-C40C66FF867C}">
                  <a14:compatExt spid="_x0000_s73735"/>
                </a:ext>
                <a:ext uri="{FF2B5EF4-FFF2-40B4-BE49-F238E27FC236}">
                  <a16:creationId xmlns:a16="http://schemas.microsoft.com/office/drawing/2014/main" id="{00000000-0008-0000-1C00-000007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73736" name="Check Box 8" hidden="1">
              <a:extLst>
                <a:ext uri="{63B3BB69-23CF-44E3-9099-C40C66FF867C}">
                  <a14:compatExt spid="_x0000_s73736"/>
                </a:ext>
                <a:ext uri="{FF2B5EF4-FFF2-40B4-BE49-F238E27FC236}">
                  <a16:creationId xmlns:a16="http://schemas.microsoft.com/office/drawing/2014/main" id="{00000000-0008-0000-1C00-000008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73737" name="Check Box 9" hidden="1">
              <a:extLst>
                <a:ext uri="{63B3BB69-23CF-44E3-9099-C40C66FF867C}">
                  <a14:compatExt spid="_x0000_s73737"/>
                </a:ext>
                <a:ext uri="{FF2B5EF4-FFF2-40B4-BE49-F238E27FC236}">
                  <a16:creationId xmlns:a16="http://schemas.microsoft.com/office/drawing/2014/main" id="{00000000-0008-0000-1C00-000009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2564130</xdr:colOff>
          <xdr:row>1</xdr:row>
          <xdr:rowOff>11430</xdr:rowOff>
        </xdr:from>
        <xdr:to>
          <xdr:col>1</xdr:col>
          <xdr:colOff>2868930</xdr:colOff>
          <xdr:row>2</xdr:row>
          <xdr:rowOff>30480</xdr:rowOff>
        </xdr:to>
        <xdr:sp macro="" textlink="">
          <xdr:nvSpPr>
            <xdr:cNvPr id="74753" name="Check Box 1" hidden="1">
              <a:extLst>
                <a:ext uri="{63B3BB69-23CF-44E3-9099-C40C66FF867C}">
                  <a14:compatExt spid="_x0000_s74753"/>
                </a:ext>
                <a:ext uri="{FF2B5EF4-FFF2-40B4-BE49-F238E27FC236}">
                  <a16:creationId xmlns:a16="http://schemas.microsoft.com/office/drawing/2014/main" id="{00000000-0008-0000-1D00-000001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74754" name="Check Box 2" hidden="1">
              <a:extLst>
                <a:ext uri="{63B3BB69-23CF-44E3-9099-C40C66FF867C}">
                  <a14:compatExt spid="_x0000_s74754"/>
                </a:ext>
                <a:ext uri="{FF2B5EF4-FFF2-40B4-BE49-F238E27FC236}">
                  <a16:creationId xmlns:a16="http://schemas.microsoft.com/office/drawing/2014/main" id="{00000000-0008-0000-1D00-00000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74755" name="Check Box 3" hidden="1">
              <a:extLst>
                <a:ext uri="{63B3BB69-23CF-44E3-9099-C40C66FF867C}">
                  <a14:compatExt spid="_x0000_s74755"/>
                </a:ext>
                <a:ext uri="{FF2B5EF4-FFF2-40B4-BE49-F238E27FC236}">
                  <a16:creationId xmlns:a16="http://schemas.microsoft.com/office/drawing/2014/main" id="{00000000-0008-0000-1D00-00000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74756" name="Check Box 4" hidden="1">
              <a:extLst>
                <a:ext uri="{63B3BB69-23CF-44E3-9099-C40C66FF867C}">
                  <a14:compatExt spid="_x0000_s74756"/>
                </a:ext>
                <a:ext uri="{FF2B5EF4-FFF2-40B4-BE49-F238E27FC236}">
                  <a16:creationId xmlns:a16="http://schemas.microsoft.com/office/drawing/2014/main" id="{00000000-0008-0000-1D00-00000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74757" name="Check Box 5" hidden="1">
              <a:extLst>
                <a:ext uri="{63B3BB69-23CF-44E3-9099-C40C66FF867C}">
                  <a14:compatExt spid="_x0000_s74757"/>
                </a:ext>
                <a:ext uri="{FF2B5EF4-FFF2-40B4-BE49-F238E27FC236}">
                  <a16:creationId xmlns:a16="http://schemas.microsoft.com/office/drawing/2014/main" id="{00000000-0008-0000-1D00-00000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74758" name="Check Box 6" hidden="1">
              <a:extLst>
                <a:ext uri="{63B3BB69-23CF-44E3-9099-C40C66FF867C}">
                  <a14:compatExt spid="_x0000_s74758"/>
                </a:ext>
                <a:ext uri="{FF2B5EF4-FFF2-40B4-BE49-F238E27FC236}">
                  <a16:creationId xmlns:a16="http://schemas.microsoft.com/office/drawing/2014/main" id="{00000000-0008-0000-1D00-00000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74759" name="Check Box 7" hidden="1">
              <a:extLst>
                <a:ext uri="{63B3BB69-23CF-44E3-9099-C40C66FF867C}">
                  <a14:compatExt spid="_x0000_s74759"/>
                </a:ext>
                <a:ext uri="{FF2B5EF4-FFF2-40B4-BE49-F238E27FC236}">
                  <a16:creationId xmlns:a16="http://schemas.microsoft.com/office/drawing/2014/main" id="{00000000-0008-0000-1D00-00000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74760" name="Check Box 8" hidden="1">
              <a:extLst>
                <a:ext uri="{63B3BB69-23CF-44E3-9099-C40C66FF867C}">
                  <a14:compatExt spid="_x0000_s74760"/>
                </a:ext>
                <a:ext uri="{FF2B5EF4-FFF2-40B4-BE49-F238E27FC236}">
                  <a16:creationId xmlns:a16="http://schemas.microsoft.com/office/drawing/2014/main" id="{00000000-0008-0000-1D00-00000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74761" name="Check Box 9" hidden="1">
              <a:extLst>
                <a:ext uri="{63B3BB69-23CF-44E3-9099-C40C66FF867C}">
                  <a14:compatExt spid="_x0000_s74761"/>
                </a:ext>
                <a:ext uri="{FF2B5EF4-FFF2-40B4-BE49-F238E27FC236}">
                  <a16:creationId xmlns:a16="http://schemas.microsoft.com/office/drawing/2014/main" id="{00000000-0008-0000-1D00-00000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2678430</xdr:colOff>
          <xdr:row>0</xdr:row>
          <xdr:rowOff>373380</xdr:rowOff>
        </xdr:from>
        <xdr:to>
          <xdr:col>1</xdr:col>
          <xdr:colOff>2983230</xdr:colOff>
          <xdr:row>2</xdr:row>
          <xdr:rowOff>11430</xdr:rowOff>
        </xdr:to>
        <xdr:sp macro="" textlink="">
          <xdr:nvSpPr>
            <xdr:cNvPr id="75777" name="Check Box 1" hidden="1">
              <a:extLst>
                <a:ext uri="{63B3BB69-23CF-44E3-9099-C40C66FF867C}">
                  <a14:compatExt spid="_x0000_s75777"/>
                </a:ext>
                <a:ext uri="{FF2B5EF4-FFF2-40B4-BE49-F238E27FC236}">
                  <a16:creationId xmlns:a16="http://schemas.microsoft.com/office/drawing/2014/main" id="{00000000-0008-0000-1E00-000001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75778" name="Check Box 2" hidden="1">
              <a:extLst>
                <a:ext uri="{63B3BB69-23CF-44E3-9099-C40C66FF867C}">
                  <a14:compatExt spid="_x0000_s75778"/>
                </a:ext>
                <a:ext uri="{FF2B5EF4-FFF2-40B4-BE49-F238E27FC236}">
                  <a16:creationId xmlns:a16="http://schemas.microsoft.com/office/drawing/2014/main" id="{00000000-0008-0000-1E00-00000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75779" name="Check Box 3" hidden="1">
              <a:extLst>
                <a:ext uri="{63B3BB69-23CF-44E3-9099-C40C66FF867C}">
                  <a14:compatExt spid="_x0000_s75779"/>
                </a:ext>
                <a:ext uri="{FF2B5EF4-FFF2-40B4-BE49-F238E27FC236}">
                  <a16:creationId xmlns:a16="http://schemas.microsoft.com/office/drawing/2014/main" id="{00000000-0008-0000-1E00-00000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75780" name="Check Box 4" hidden="1">
              <a:extLst>
                <a:ext uri="{63B3BB69-23CF-44E3-9099-C40C66FF867C}">
                  <a14:compatExt spid="_x0000_s75780"/>
                </a:ext>
                <a:ext uri="{FF2B5EF4-FFF2-40B4-BE49-F238E27FC236}">
                  <a16:creationId xmlns:a16="http://schemas.microsoft.com/office/drawing/2014/main" id="{00000000-0008-0000-1E00-000004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75781" name="Check Box 5" hidden="1">
              <a:extLst>
                <a:ext uri="{63B3BB69-23CF-44E3-9099-C40C66FF867C}">
                  <a14:compatExt spid="_x0000_s75781"/>
                </a:ext>
                <a:ext uri="{FF2B5EF4-FFF2-40B4-BE49-F238E27FC236}">
                  <a16:creationId xmlns:a16="http://schemas.microsoft.com/office/drawing/2014/main" id="{00000000-0008-0000-1E00-000005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75782" name="Check Box 6" hidden="1">
              <a:extLst>
                <a:ext uri="{63B3BB69-23CF-44E3-9099-C40C66FF867C}">
                  <a14:compatExt spid="_x0000_s75782"/>
                </a:ext>
                <a:ext uri="{FF2B5EF4-FFF2-40B4-BE49-F238E27FC236}">
                  <a16:creationId xmlns:a16="http://schemas.microsoft.com/office/drawing/2014/main" id="{00000000-0008-0000-1E00-00000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75783" name="Check Box 7" hidden="1">
              <a:extLst>
                <a:ext uri="{63B3BB69-23CF-44E3-9099-C40C66FF867C}">
                  <a14:compatExt spid="_x0000_s75783"/>
                </a:ext>
                <a:ext uri="{FF2B5EF4-FFF2-40B4-BE49-F238E27FC236}">
                  <a16:creationId xmlns:a16="http://schemas.microsoft.com/office/drawing/2014/main" id="{00000000-0008-0000-1E00-00000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75784" name="Check Box 8" hidden="1">
              <a:extLst>
                <a:ext uri="{63B3BB69-23CF-44E3-9099-C40C66FF867C}">
                  <a14:compatExt spid="_x0000_s75784"/>
                </a:ext>
                <a:ext uri="{FF2B5EF4-FFF2-40B4-BE49-F238E27FC236}">
                  <a16:creationId xmlns:a16="http://schemas.microsoft.com/office/drawing/2014/main" id="{00000000-0008-0000-1E00-000008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75785" name="Check Box 9" hidden="1">
              <a:extLst>
                <a:ext uri="{63B3BB69-23CF-44E3-9099-C40C66FF867C}">
                  <a14:compatExt spid="_x0000_s75785"/>
                </a:ext>
                <a:ext uri="{FF2B5EF4-FFF2-40B4-BE49-F238E27FC236}">
                  <a16:creationId xmlns:a16="http://schemas.microsoft.com/office/drawing/2014/main" id="{00000000-0008-0000-1E00-000009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621030</xdr:colOff>
          <xdr:row>6</xdr:row>
          <xdr:rowOff>335280</xdr:rowOff>
        </xdr:from>
        <xdr:to>
          <xdr:col>3</xdr:col>
          <xdr:colOff>19050</xdr:colOff>
          <xdr:row>6</xdr:row>
          <xdr:rowOff>552450</xdr:rowOff>
        </xdr:to>
        <xdr:sp macro="" textlink="">
          <xdr:nvSpPr>
            <xdr:cNvPr id="37889" name="Check Box 1" hidden="1">
              <a:extLst>
                <a:ext uri="{63B3BB69-23CF-44E3-9099-C40C66FF867C}">
                  <a14:compatExt spid="_x0000_s37889"/>
                </a:ext>
                <a:ext uri="{FF2B5EF4-FFF2-40B4-BE49-F238E27FC236}">
                  <a16:creationId xmlns:a16="http://schemas.microsoft.com/office/drawing/2014/main" id="{00000000-0008-0000-1F00-000001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621030</xdr:colOff>
          <xdr:row>7</xdr:row>
          <xdr:rowOff>335280</xdr:rowOff>
        </xdr:from>
        <xdr:to>
          <xdr:col>3</xdr:col>
          <xdr:colOff>19050</xdr:colOff>
          <xdr:row>7</xdr:row>
          <xdr:rowOff>552450</xdr:rowOff>
        </xdr:to>
        <xdr:sp macro="" textlink="">
          <xdr:nvSpPr>
            <xdr:cNvPr id="37890" name="Check Box 2" hidden="1">
              <a:extLst>
                <a:ext uri="{63B3BB69-23CF-44E3-9099-C40C66FF867C}">
                  <a14:compatExt spid="_x0000_s37890"/>
                </a:ext>
                <a:ext uri="{FF2B5EF4-FFF2-40B4-BE49-F238E27FC236}">
                  <a16:creationId xmlns:a16="http://schemas.microsoft.com/office/drawing/2014/main" id="{00000000-0008-0000-1F00-000002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621030</xdr:colOff>
          <xdr:row>8</xdr:row>
          <xdr:rowOff>335280</xdr:rowOff>
        </xdr:from>
        <xdr:to>
          <xdr:col>3</xdr:col>
          <xdr:colOff>19050</xdr:colOff>
          <xdr:row>8</xdr:row>
          <xdr:rowOff>552450</xdr:rowOff>
        </xdr:to>
        <xdr:sp macro="" textlink="">
          <xdr:nvSpPr>
            <xdr:cNvPr id="37891" name="Check Box 3" hidden="1">
              <a:extLst>
                <a:ext uri="{63B3BB69-23CF-44E3-9099-C40C66FF867C}">
                  <a14:compatExt spid="_x0000_s37891"/>
                </a:ext>
                <a:ext uri="{FF2B5EF4-FFF2-40B4-BE49-F238E27FC236}">
                  <a16:creationId xmlns:a16="http://schemas.microsoft.com/office/drawing/2014/main" id="{00000000-0008-0000-1F00-000003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2686050</xdr:colOff>
          <xdr:row>1</xdr:row>
          <xdr:rowOff>19050</xdr:rowOff>
        </xdr:from>
        <xdr:to>
          <xdr:col>1</xdr:col>
          <xdr:colOff>2990850</xdr:colOff>
          <xdr:row>2</xdr:row>
          <xdr:rowOff>38100</xdr:rowOff>
        </xdr:to>
        <xdr:sp macro="" textlink="">
          <xdr:nvSpPr>
            <xdr:cNvPr id="37892" name="Check Box 4" hidden="1">
              <a:extLst>
                <a:ext uri="{63B3BB69-23CF-44E3-9099-C40C66FF867C}">
                  <a14:compatExt spid="_x0000_s37892"/>
                </a:ext>
                <a:ext uri="{FF2B5EF4-FFF2-40B4-BE49-F238E27FC236}">
                  <a16:creationId xmlns:a16="http://schemas.microsoft.com/office/drawing/2014/main" id="{00000000-0008-0000-1F00-000004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190500</xdr:rowOff>
        </xdr:from>
        <xdr:to>
          <xdr:col>0</xdr:col>
          <xdr:colOff>963930</xdr:colOff>
          <xdr:row>21</xdr:row>
          <xdr:rowOff>0</xdr:rowOff>
        </xdr:to>
        <xdr:sp macro="" textlink="">
          <xdr:nvSpPr>
            <xdr:cNvPr id="37893" name="Check Box 5" hidden="1">
              <a:extLst>
                <a:ext uri="{63B3BB69-23CF-44E3-9099-C40C66FF867C}">
                  <a14:compatExt spid="_x0000_s37893"/>
                </a:ext>
                <a:ext uri="{FF2B5EF4-FFF2-40B4-BE49-F238E27FC236}">
                  <a16:creationId xmlns:a16="http://schemas.microsoft.com/office/drawing/2014/main" id="{00000000-0008-0000-1F00-000005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182880</xdr:rowOff>
        </xdr:from>
        <xdr:to>
          <xdr:col>0</xdr:col>
          <xdr:colOff>906780</xdr:colOff>
          <xdr:row>22</xdr:row>
          <xdr:rowOff>0</xdr:rowOff>
        </xdr:to>
        <xdr:sp macro="" textlink="">
          <xdr:nvSpPr>
            <xdr:cNvPr id="37894" name="Check Box 6" hidden="1">
              <a:extLst>
                <a:ext uri="{63B3BB69-23CF-44E3-9099-C40C66FF867C}">
                  <a14:compatExt spid="_x0000_s37894"/>
                </a:ext>
                <a:ext uri="{FF2B5EF4-FFF2-40B4-BE49-F238E27FC236}">
                  <a16:creationId xmlns:a16="http://schemas.microsoft.com/office/drawing/2014/main" id="{00000000-0008-0000-1F00-000006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1</xdr:col>
          <xdr:colOff>392430</xdr:colOff>
          <xdr:row>23</xdr:row>
          <xdr:rowOff>0</xdr:rowOff>
        </xdr:to>
        <xdr:sp macro="" textlink="">
          <xdr:nvSpPr>
            <xdr:cNvPr id="37895" name="Check Box 7" hidden="1">
              <a:extLst>
                <a:ext uri="{63B3BB69-23CF-44E3-9099-C40C66FF867C}">
                  <a14:compatExt spid="_x0000_s37895"/>
                </a:ext>
                <a:ext uri="{FF2B5EF4-FFF2-40B4-BE49-F238E27FC236}">
                  <a16:creationId xmlns:a16="http://schemas.microsoft.com/office/drawing/2014/main" id="{00000000-0008-0000-1F00-000007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11430</xdr:rowOff>
        </xdr:from>
        <xdr:to>
          <xdr:col>0</xdr:col>
          <xdr:colOff>800100</xdr:colOff>
          <xdr:row>24</xdr:row>
          <xdr:rowOff>19050</xdr:rowOff>
        </xdr:to>
        <xdr:sp macro="" textlink="">
          <xdr:nvSpPr>
            <xdr:cNvPr id="37896" name="Check Box 8" hidden="1">
              <a:extLst>
                <a:ext uri="{63B3BB69-23CF-44E3-9099-C40C66FF867C}">
                  <a14:compatExt spid="_x0000_s37896"/>
                </a:ext>
                <a:ext uri="{FF2B5EF4-FFF2-40B4-BE49-F238E27FC236}">
                  <a16:creationId xmlns:a16="http://schemas.microsoft.com/office/drawing/2014/main" id="{00000000-0008-0000-1F00-000008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11430</xdr:rowOff>
        </xdr:from>
        <xdr:to>
          <xdr:col>0</xdr:col>
          <xdr:colOff>800100</xdr:colOff>
          <xdr:row>25</xdr:row>
          <xdr:rowOff>19050</xdr:rowOff>
        </xdr:to>
        <xdr:sp macro="" textlink="">
          <xdr:nvSpPr>
            <xdr:cNvPr id="37897" name="Check Box 9" hidden="1">
              <a:extLst>
                <a:ext uri="{63B3BB69-23CF-44E3-9099-C40C66FF867C}">
                  <a14:compatExt spid="_x0000_s37897"/>
                </a:ext>
                <a:ext uri="{FF2B5EF4-FFF2-40B4-BE49-F238E27FC236}">
                  <a16:creationId xmlns:a16="http://schemas.microsoft.com/office/drawing/2014/main" id="{00000000-0008-0000-1F00-000009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201930</xdr:rowOff>
        </xdr:from>
        <xdr:to>
          <xdr:col>0</xdr:col>
          <xdr:colOff>1097280</xdr:colOff>
          <xdr:row>26</xdr:row>
          <xdr:rowOff>19050</xdr:rowOff>
        </xdr:to>
        <xdr:sp macro="" textlink="">
          <xdr:nvSpPr>
            <xdr:cNvPr id="37898" name="Check Box 10" hidden="1">
              <a:extLst>
                <a:ext uri="{63B3BB69-23CF-44E3-9099-C40C66FF867C}">
                  <a14:compatExt spid="_x0000_s37898"/>
                </a:ext>
                <a:ext uri="{FF2B5EF4-FFF2-40B4-BE49-F238E27FC236}">
                  <a16:creationId xmlns:a16="http://schemas.microsoft.com/office/drawing/2014/main" id="{00000000-0008-0000-1F00-00000A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1123950</xdr:colOff>
          <xdr:row>27</xdr:row>
          <xdr:rowOff>11430</xdr:rowOff>
        </xdr:to>
        <xdr:sp macro="" textlink="">
          <xdr:nvSpPr>
            <xdr:cNvPr id="37899" name="Check Box 11" hidden="1">
              <a:extLst>
                <a:ext uri="{63B3BB69-23CF-44E3-9099-C40C66FF867C}">
                  <a14:compatExt spid="_x0000_s37899"/>
                </a:ext>
                <a:ext uri="{FF2B5EF4-FFF2-40B4-BE49-F238E27FC236}">
                  <a16:creationId xmlns:a16="http://schemas.microsoft.com/office/drawing/2014/main" id="{00000000-0008-0000-1F00-00000B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857250</xdr:colOff>
          <xdr:row>28</xdr:row>
          <xdr:rowOff>11430</xdr:rowOff>
        </xdr:to>
        <xdr:sp macro="" textlink="">
          <xdr:nvSpPr>
            <xdr:cNvPr id="37900" name="Check Box 12" hidden="1">
              <a:extLst>
                <a:ext uri="{63B3BB69-23CF-44E3-9099-C40C66FF867C}">
                  <a14:compatExt spid="_x0000_s37900"/>
                </a:ext>
                <a:ext uri="{FF2B5EF4-FFF2-40B4-BE49-F238E27FC236}">
                  <a16:creationId xmlns:a16="http://schemas.microsoft.com/office/drawing/2014/main" id="{00000000-0008-0000-1F00-00000C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2583180</xdr:colOff>
          <xdr:row>1</xdr:row>
          <xdr:rowOff>11430</xdr:rowOff>
        </xdr:from>
        <xdr:to>
          <xdr:col>1</xdr:col>
          <xdr:colOff>2887980</xdr:colOff>
          <xdr:row>2</xdr:row>
          <xdr:rowOff>30480</xdr:rowOff>
        </xdr:to>
        <xdr:sp macro="" textlink="">
          <xdr:nvSpPr>
            <xdr:cNvPr id="76801" name="Check Box 1" hidden="1">
              <a:extLst>
                <a:ext uri="{63B3BB69-23CF-44E3-9099-C40C66FF867C}">
                  <a14:compatExt spid="_x0000_s76801"/>
                </a:ext>
                <a:ext uri="{FF2B5EF4-FFF2-40B4-BE49-F238E27FC236}">
                  <a16:creationId xmlns:a16="http://schemas.microsoft.com/office/drawing/2014/main" id="{00000000-0008-0000-2000-00000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190500</xdr:rowOff>
        </xdr:from>
        <xdr:to>
          <xdr:col>0</xdr:col>
          <xdr:colOff>963930</xdr:colOff>
          <xdr:row>25</xdr:row>
          <xdr:rowOff>0</xdr:rowOff>
        </xdr:to>
        <xdr:sp macro="" textlink="">
          <xdr:nvSpPr>
            <xdr:cNvPr id="76802" name="Check Box 2" hidden="1">
              <a:extLst>
                <a:ext uri="{63B3BB69-23CF-44E3-9099-C40C66FF867C}">
                  <a14:compatExt spid="_x0000_s76802"/>
                </a:ext>
                <a:ext uri="{FF2B5EF4-FFF2-40B4-BE49-F238E27FC236}">
                  <a16:creationId xmlns:a16="http://schemas.microsoft.com/office/drawing/2014/main" id="{00000000-0008-0000-2000-00000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182880</xdr:rowOff>
        </xdr:from>
        <xdr:to>
          <xdr:col>0</xdr:col>
          <xdr:colOff>906780</xdr:colOff>
          <xdr:row>26</xdr:row>
          <xdr:rowOff>0</xdr:rowOff>
        </xdr:to>
        <xdr:sp macro="" textlink="">
          <xdr:nvSpPr>
            <xdr:cNvPr id="76803" name="Check Box 3" hidden="1">
              <a:extLst>
                <a:ext uri="{63B3BB69-23CF-44E3-9099-C40C66FF867C}">
                  <a14:compatExt spid="_x0000_s76803"/>
                </a:ext>
                <a:ext uri="{FF2B5EF4-FFF2-40B4-BE49-F238E27FC236}">
                  <a16:creationId xmlns:a16="http://schemas.microsoft.com/office/drawing/2014/main" id="{00000000-0008-0000-2000-00000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1</xdr:col>
          <xdr:colOff>392430</xdr:colOff>
          <xdr:row>27</xdr:row>
          <xdr:rowOff>0</xdr:rowOff>
        </xdr:to>
        <xdr:sp macro="" textlink="">
          <xdr:nvSpPr>
            <xdr:cNvPr id="76804" name="Check Box 4" hidden="1">
              <a:extLst>
                <a:ext uri="{63B3BB69-23CF-44E3-9099-C40C66FF867C}">
                  <a14:compatExt spid="_x0000_s76804"/>
                </a:ext>
                <a:ext uri="{FF2B5EF4-FFF2-40B4-BE49-F238E27FC236}">
                  <a16:creationId xmlns:a16="http://schemas.microsoft.com/office/drawing/2014/main" id="{00000000-0008-0000-2000-00000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76805" name="Check Box 5" hidden="1">
              <a:extLst>
                <a:ext uri="{63B3BB69-23CF-44E3-9099-C40C66FF867C}">
                  <a14:compatExt spid="_x0000_s76805"/>
                </a:ext>
                <a:ext uri="{FF2B5EF4-FFF2-40B4-BE49-F238E27FC236}">
                  <a16:creationId xmlns:a16="http://schemas.microsoft.com/office/drawing/2014/main" id="{00000000-0008-0000-2000-00000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11430</xdr:rowOff>
        </xdr:from>
        <xdr:to>
          <xdr:col>0</xdr:col>
          <xdr:colOff>800100</xdr:colOff>
          <xdr:row>29</xdr:row>
          <xdr:rowOff>19050</xdr:rowOff>
        </xdr:to>
        <xdr:sp macro="" textlink="">
          <xdr:nvSpPr>
            <xdr:cNvPr id="76806" name="Check Box 6" hidden="1">
              <a:extLst>
                <a:ext uri="{63B3BB69-23CF-44E3-9099-C40C66FF867C}">
                  <a14:compatExt spid="_x0000_s76806"/>
                </a:ext>
                <a:ext uri="{FF2B5EF4-FFF2-40B4-BE49-F238E27FC236}">
                  <a16:creationId xmlns:a16="http://schemas.microsoft.com/office/drawing/2014/main" id="{00000000-0008-0000-2000-000006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201930</xdr:rowOff>
        </xdr:from>
        <xdr:to>
          <xdr:col>0</xdr:col>
          <xdr:colOff>1097280</xdr:colOff>
          <xdr:row>30</xdr:row>
          <xdr:rowOff>19050</xdr:rowOff>
        </xdr:to>
        <xdr:sp macro="" textlink="">
          <xdr:nvSpPr>
            <xdr:cNvPr id="76807" name="Check Box 7" hidden="1">
              <a:extLst>
                <a:ext uri="{63B3BB69-23CF-44E3-9099-C40C66FF867C}">
                  <a14:compatExt spid="_x0000_s76807"/>
                </a:ext>
                <a:ext uri="{FF2B5EF4-FFF2-40B4-BE49-F238E27FC236}">
                  <a16:creationId xmlns:a16="http://schemas.microsoft.com/office/drawing/2014/main" id="{00000000-0008-0000-2000-000007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1123950</xdr:colOff>
          <xdr:row>31</xdr:row>
          <xdr:rowOff>11430</xdr:rowOff>
        </xdr:to>
        <xdr:sp macro="" textlink="">
          <xdr:nvSpPr>
            <xdr:cNvPr id="76808" name="Check Box 8" hidden="1">
              <a:extLst>
                <a:ext uri="{63B3BB69-23CF-44E3-9099-C40C66FF867C}">
                  <a14:compatExt spid="_x0000_s76808"/>
                </a:ext>
                <a:ext uri="{FF2B5EF4-FFF2-40B4-BE49-F238E27FC236}">
                  <a16:creationId xmlns:a16="http://schemas.microsoft.com/office/drawing/2014/main" id="{00000000-0008-0000-2000-000008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857250</xdr:colOff>
          <xdr:row>32</xdr:row>
          <xdr:rowOff>11430</xdr:rowOff>
        </xdr:to>
        <xdr:sp macro="" textlink="">
          <xdr:nvSpPr>
            <xdr:cNvPr id="76809" name="Check Box 9" hidden="1">
              <a:extLst>
                <a:ext uri="{63B3BB69-23CF-44E3-9099-C40C66FF867C}">
                  <a14:compatExt spid="_x0000_s76809"/>
                </a:ext>
                <a:ext uri="{FF2B5EF4-FFF2-40B4-BE49-F238E27FC236}">
                  <a16:creationId xmlns:a16="http://schemas.microsoft.com/office/drawing/2014/main" id="{00000000-0008-0000-2000-000009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2533650</xdr:colOff>
          <xdr:row>0</xdr:row>
          <xdr:rowOff>373380</xdr:rowOff>
        </xdr:from>
        <xdr:to>
          <xdr:col>1</xdr:col>
          <xdr:colOff>2868930</xdr:colOff>
          <xdr:row>2</xdr:row>
          <xdr:rowOff>11430</xdr:rowOff>
        </xdr:to>
        <xdr:sp macro="" textlink="">
          <xdr:nvSpPr>
            <xdr:cNvPr id="77825" name="Check Box 1" hidden="1">
              <a:extLst>
                <a:ext uri="{63B3BB69-23CF-44E3-9099-C40C66FF867C}">
                  <a14:compatExt spid="_x0000_s77825"/>
                </a:ext>
                <a:ext uri="{FF2B5EF4-FFF2-40B4-BE49-F238E27FC236}">
                  <a16:creationId xmlns:a16="http://schemas.microsoft.com/office/drawing/2014/main" id="{00000000-0008-0000-2100-000001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77826" name="Check Box 2" hidden="1">
              <a:extLst>
                <a:ext uri="{63B3BB69-23CF-44E3-9099-C40C66FF867C}">
                  <a14:compatExt spid="_x0000_s77826"/>
                </a:ext>
                <a:ext uri="{FF2B5EF4-FFF2-40B4-BE49-F238E27FC236}">
                  <a16:creationId xmlns:a16="http://schemas.microsoft.com/office/drawing/2014/main" id="{00000000-0008-0000-2100-000002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77827" name="Check Box 3" hidden="1">
              <a:extLst>
                <a:ext uri="{63B3BB69-23CF-44E3-9099-C40C66FF867C}">
                  <a14:compatExt spid="_x0000_s77827"/>
                </a:ext>
                <a:ext uri="{FF2B5EF4-FFF2-40B4-BE49-F238E27FC236}">
                  <a16:creationId xmlns:a16="http://schemas.microsoft.com/office/drawing/2014/main" id="{00000000-0008-0000-2100-000003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77828" name="Check Box 4" hidden="1">
              <a:extLst>
                <a:ext uri="{63B3BB69-23CF-44E3-9099-C40C66FF867C}">
                  <a14:compatExt spid="_x0000_s77828"/>
                </a:ext>
                <a:ext uri="{FF2B5EF4-FFF2-40B4-BE49-F238E27FC236}">
                  <a16:creationId xmlns:a16="http://schemas.microsoft.com/office/drawing/2014/main" id="{00000000-0008-0000-2100-000004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77829" name="Check Box 5" hidden="1">
              <a:extLst>
                <a:ext uri="{63B3BB69-23CF-44E3-9099-C40C66FF867C}">
                  <a14:compatExt spid="_x0000_s77829"/>
                </a:ext>
                <a:ext uri="{FF2B5EF4-FFF2-40B4-BE49-F238E27FC236}">
                  <a16:creationId xmlns:a16="http://schemas.microsoft.com/office/drawing/2014/main" id="{00000000-0008-0000-2100-000005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77830" name="Check Box 6" hidden="1">
              <a:extLst>
                <a:ext uri="{63B3BB69-23CF-44E3-9099-C40C66FF867C}">
                  <a14:compatExt spid="_x0000_s77830"/>
                </a:ext>
                <a:ext uri="{FF2B5EF4-FFF2-40B4-BE49-F238E27FC236}">
                  <a16:creationId xmlns:a16="http://schemas.microsoft.com/office/drawing/2014/main" id="{00000000-0008-0000-2100-000006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77831" name="Check Box 7" hidden="1">
              <a:extLst>
                <a:ext uri="{63B3BB69-23CF-44E3-9099-C40C66FF867C}">
                  <a14:compatExt spid="_x0000_s77831"/>
                </a:ext>
                <a:ext uri="{FF2B5EF4-FFF2-40B4-BE49-F238E27FC236}">
                  <a16:creationId xmlns:a16="http://schemas.microsoft.com/office/drawing/2014/main" id="{00000000-0008-0000-2100-000007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77832" name="Check Box 8" hidden="1">
              <a:extLst>
                <a:ext uri="{63B3BB69-23CF-44E3-9099-C40C66FF867C}">
                  <a14:compatExt spid="_x0000_s77832"/>
                </a:ext>
                <a:ext uri="{FF2B5EF4-FFF2-40B4-BE49-F238E27FC236}">
                  <a16:creationId xmlns:a16="http://schemas.microsoft.com/office/drawing/2014/main" id="{00000000-0008-0000-2100-000008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77833" name="Check Box 9" hidden="1">
              <a:extLst>
                <a:ext uri="{63B3BB69-23CF-44E3-9099-C40C66FF867C}">
                  <a14:compatExt spid="_x0000_s77833"/>
                </a:ext>
                <a:ext uri="{FF2B5EF4-FFF2-40B4-BE49-F238E27FC236}">
                  <a16:creationId xmlns:a16="http://schemas.microsoft.com/office/drawing/2014/main" id="{00000000-0008-0000-2100-000009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2602230</xdr:colOff>
          <xdr:row>1</xdr:row>
          <xdr:rowOff>0</xdr:rowOff>
        </xdr:from>
        <xdr:to>
          <xdr:col>1</xdr:col>
          <xdr:colOff>2907030</xdr:colOff>
          <xdr:row>2</xdr:row>
          <xdr:rowOff>19050</xdr:rowOff>
        </xdr:to>
        <xdr:sp macro="" textlink="">
          <xdr:nvSpPr>
            <xdr:cNvPr id="78849" name="Check Box 1" hidden="1">
              <a:extLst>
                <a:ext uri="{63B3BB69-23CF-44E3-9099-C40C66FF867C}">
                  <a14:compatExt spid="_x0000_s78849"/>
                </a:ext>
                <a:ext uri="{FF2B5EF4-FFF2-40B4-BE49-F238E27FC236}">
                  <a16:creationId xmlns:a16="http://schemas.microsoft.com/office/drawing/2014/main" id="{00000000-0008-0000-2200-00000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78850" name="Check Box 2" hidden="1">
              <a:extLst>
                <a:ext uri="{63B3BB69-23CF-44E3-9099-C40C66FF867C}">
                  <a14:compatExt spid="_x0000_s78850"/>
                </a:ext>
                <a:ext uri="{FF2B5EF4-FFF2-40B4-BE49-F238E27FC236}">
                  <a16:creationId xmlns:a16="http://schemas.microsoft.com/office/drawing/2014/main" id="{00000000-0008-0000-2200-00000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78851" name="Check Box 3" hidden="1">
              <a:extLst>
                <a:ext uri="{63B3BB69-23CF-44E3-9099-C40C66FF867C}">
                  <a14:compatExt spid="_x0000_s78851"/>
                </a:ext>
                <a:ext uri="{FF2B5EF4-FFF2-40B4-BE49-F238E27FC236}">
                  <a16:creationId xmlns:a16="http://schemas.microsoft.com/office/drawing/2014/main" id="{00000000-0008-0000-2200-00000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78852" name="Check Box 4" hidden="1">
              <a:extLst>
                <a:ext uri="{63B3BB69-23CF-44E3-9099-C40C66FF867C}">
                  <a14:compatExt spid="_x0000_s78852"/>
                </a:ext>
                <a:ext uri="{FF2B5EF4-FFF2-40B4-BE49-F238E27FC236}">
                  <a16:creationId xmlns:a16="http://schemas.microsoft.com/office/drawing/2014/main" id="{00000000-0008-0000-2200-00000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78853" name="Check Box 5" hidden="1">
              <a:extLst>
                <a:ext uri="{63B3BB69-23CF-44E3-9099-C40C66FF867C}">
                  <a14:compatExt spid="_x0000_s78853"/>
                </a:ext>
                <a:ext uri="{FF2B5EF4-FFF2-40B4-BE49-F238E27FC236}">
                  <a16:creationId xmlns:a16="http://schemas.microsoft.com/office/drawing/2014/main" id="{00000000-0008-0000-2200-00000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78854" name="Check Box 6" hidden="1">
              <a:extLst>
                <a:ext uri="{63B3BB69-23CF-44E3-9099-C40C66FF867C}">
                  <a14:compatExt spid="_x0000_s78854"/>
                </a:ext>
                <a:ext uri="{FF2B5EF4-FFF2-40B4-BE49-F238E27FC236}">
                  <a16:creationId xmlns:a16="http://schemas.microsoft.com/office/drawing/2014/main" id="{00000000-0008-0000-2200-00000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78855" name="Check Box 7" hidden="1">
              <a:extLst>
                <a:ext uri="{63B3BB69-23CF-44E3-9099-C40C66FF867C}">
                  <a14:compatExt spid="_x0000_s78855"/>
                </a:ext>
                <a:ext uri="{FF2B5EF4-FFF2-40B4-BE49-F238E27FC236}">
                  <a16:creationId xmlns:a16="http://schemas.microsoft.com/office/drawing/2014/main" id="{00000000-0008-0000-2200-00000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78856" name="Check Box 8" hidden="1">
              <a:extLst>
                <a:ext uri="{63B3BB69-23CF-44E3-9099-C40C66FF867C}">
                  <a14:compatExt spid="_x0000_s78856"/>
                </a:ext>
                <a:ext uri="{FF2B5EF4-FFF2-40B4-BE49-F238E27FC236}">
                  <a16:creationId xmlns:a16="http://schemas.microsoft.com/office/drawing/2014/main" id="{00000000-0008-0000-2200-00000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78857" name="Check Box 9" hidden="1">
              <a:extLst>
                <a:ext uri="{63B3BB69-23CF-44E3-9099-C40C66FF867C}">
                  <a14:compatExt spid="_x0000_s78857"/>
                </a:ext>
                <a:ext uri="{FF2B5EF4-FFF2-40B4-BE49-F238E27FC236}">
                  <a16:creationId xmlns:a16="http://schemas.microsoft.com/office/drawing/2014/main" id="{00000000-0008-0000-2200-00000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2564130</xdr:colOff>
          <xdr:row>1</xdr:row>
          <xdr:rowOff>0</xdr:rowOff>
        </xdr:from>
        <xdr:to>
          <xdr:col>1</xdr:col>
          <xdr:colOff>2868930</xdr:colOff>
          <xdr:row>2</xdr:row>
          <xdr:rowOff>19050</xdr:rowOff>
        </xdr:to>
        <xdr:sp macro="" textlink="">
          <xdr:nvSpPr>
            <xdr:cNvPr id="79873" name="Check Box 1" hidden="1">
              <a:extLst>
                <a:ext uri="{63B3BB69-23CF-44E3-9099-C40C66FF867C}">
                  <a14:compatExt spid="_x0000_s79873"/>
                </a:ext>
                <a:ext uri="{FF2B5EF4-FFF2-40B4-BE49-F238E27FC236}">
                  <a16:creationId xmlns:a16="http://schemas.microsoft.com/office/drawing/2014/main" id="{00000000-0008-0000-2300-00000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79874" name="Check Box 2" hidden="1">
              <a:extLst>
                <a:ext uri="{63B3BB69-23CF-44E3-9099-C40C66FF867C}">
                  <a14:compatExt spid="_x0000_s79874"/>
                </a:ext>
                <a:ext uri="{FF2B5EF4-FFF2-40B4-BE49-F238E27FC236}">
                  <a16:creationId xmlns:a16="http://schemas.microsoft.com/office/drawing/2014/main" id="{00000000-0008-0000-2300-00000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79875" name="Check Box 3" hidden="1">
              <a:extLst>
                <a:ext uri="{63B3BB69-23CF-44E3-9099-C40C66FF867C}">
                  <a14:compatExt spid="_x0000_s79875"/>
                </a:ext>
                <a:ext uri="{FF2B5EF4-FFF2-40B4-BE49-F238E27FC236}">
                  <a16:creationId xmlns:a16="http://schemas.microsoft.com/office/drawing/2014/main" id="{00000000-0008-0000-2300-00000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79876" name="Check Box 4" hidden="1">
              <a:extLst>
                <a:ext uri="{63B3BB69-23CF-44E3-9099-C40C66FF867C}">
                  <a14:compatExt spid="_x0000_s79876"/>
                </a:ext>
                <a:ext uri="{FF2B5EF4-FFF2-40B4-BE49-F238E27FC236}">
                  <a16:creationId xmlns:a16="http://schemas.microsoft.com/office/drawing/2014/main" id="{00000000-0008-0000-2300-00000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79877" name="Check Box 5" hidden="1">
              <a:extLst>
                <a:ext uri="{63B3BB69-23CF-44E3-9099-C40C66FF867C}">
                  <a14:compatExt spid="_x0000_s79877"/>
                </a:ext>
                <a:ext uri="{FF2B5EF4-FFF2-40B4-BE49-F238E27FC236}">
                  <a16:creationId xmlns:a16="http://schemas.microsoft.com/office/drawing/2014/main" id="{00000000-0008-0000-2300-00000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79878" name="Check Box 6" hidden="1">
              <a:extLst>
                <a:ext uri="{63B3BB69-23CF-44E3-9099-C40C66FF867C}">
                  <a14:compatExt spid="_x0000_s79878"/>
                </a:ext>
                <a:ext uri="{FF2B5EF4-FFF2-40B4-BE49-F238E27FC236}">
                  <a16:creationId xmlns:a16="http://schemas.microsoft.com/office/drawing/2014/main" id="{00000000-0008-0000-2300-00000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79879" name="Check Box 7" hidden="1">
              <a:extLst>
                <a:ext uri="{63B3BB69-23CF-44E3-9099-C40C66FF867C}">
                  <a14:compatExt spid="_x0000_s79879"/>
                </a:ext>
                <a:ext uri="{FF2B5EF4-FFF2-40B4-BE49-F238E27FC236}">
                  <a16:creationId xmlns:a16="http://schemas.microsoft.com/office/drawing/2014/main" id="{00000000-0008-0000-2300-00000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79880" name="Check Box 8" hidden="1">
              <a:extLst>
                <a:ext uri="{63B3BB69-23CF-44E3-9099-C40C66FF867C}">
                  <a14:compatExt spid="_x0000_s79880"/>
                </a:ext>
                <a:ext uri="{FF2B5EF4-FFF2-40B4-BE49-F238E27FC236}">
                  <a16:creationId xmlns:a16="http://schemas.microsoft.com/office/drawing/2014/main" id="{00000000-0008-0000-2300-00000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79881" name="Check Box 9" hidden="1">
              <a:extLst>
                <a:ext uri="{63B3BB69-23CF-44E3-9099-C40C66FF867C}">
                  <a14:compatExt spid="_x0000_s79881"/>
                </a:ext>
                <a:ext uri="{FF2B5EF4-FFF2-40B4-BE49-F238E27FC236}">
                  <a16:creationId xmlns:a16="http://schemas.microsoft.com/office/drawing/2014/main" id="{00000000-0008-0000-2300-00000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2640330</xdr:colOff>
          <xdr:row>1</xdr:row>
          <xdr:rowOff>30480</xdr:rowOff>
        </xdr:from>
        <xdr:to>
          <xdr:col>1</xdr:col>
          <xdr:colOff>2945130</xdr:colOff>
          <xdr:row>2</xdr:row>
          <xdr:rowOff>49530</xdr:rowOff>
        </xdr:to>
        <xdr:sp macro="" textlink="">
          <xdr:nvSpPr>
            <xdr:cNvPr id="80897" name="Check Box 1" hidden="1">
              <a:extLst>
                <a:ext uri="{63B3BB69-23CF-44E3-9099-C40C66FF867C}">
                  <a14:compatExt spid="_x0000_s80897"/>
                </a:ext>
                <a:ext uri="{FF2B5EF4-FFF2-40B4-BE49-F238E27FC236}">
                  <a16:creationId xmlns:a16="http://schemas.microsoft.com/office/drawing/2014/main" id="{00000000-0008-0000-2400-00000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2400-00000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80899" name="Check Box 3" hidden="1">
              <a:extLst>
                <a:ext uri="{63B3BB69-23CF-44E3-9099-C40C66FF867C}">
                  <a14:compatExt spid="_x0000_s80899"/>
                </a:ext>
                <a:ext uri="{FF2B5EF4-FFF2-40B4-BE49-F238E27FC236}">
                  <a16:creationId xmlns:a16="http://schemas.microsoft.com/office/drawing/2014/main" id="{00000000-0008-0000-2400-00000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80900" name="Check Box 4" hidden="1">
              <a:extLst>
                <a:ext uri="{63B3BB69-23CF-44E3-9099-C40C66FF867C}">
                  <a14:compatExt spid="_x0000_s80900"/>
                </a:ext>
                <a:ext uri="{FF2B5EF4-FFF2-40B4-BE49-F238E27FC236}">
                  <a16:creationId xmlns:a16="http://schemas.microsoft.com/office/drawing/2014/main" id="{00000000-0008-0000-2400-00000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80901" name="Check Box 5" hidden="1">
              <a:extLst>
                <a:ext uri="{63B3BB69-23CF-44E3-9099-C40C66FF867C}">
                  <a14:compatExt spid="_x0000_s80901"/>
                </a:ext>
                <a:ext uri="{FF2B5EF4-FFF2-40B4-BE49-F238E27FC236}">
                  <a16:creationId xmlns:a16="http://schemas.microsoft.com/office/drawing/2014/main" id="{00000000-0008-0000-2400-00000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80902" name="Check Box 6" hidden="1">
              <a:extLst>
                <a:ext uri="{63B3BB69-23CF-44E3-9099-C40C66FF867C}">
                  <a14:compatExt spid="_x0000_s80902"/>
                </a:ext>
                <a:ext uri="{FF2B5EF4-FFF2-40B4-BE49-F238E27FC236}">
                  <a16:creationId xmlns:a16="http://schemas.microsoft.com/office/drawing/2014/main" id="{00000000-0008-0000-2400-000006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80903" name="Check Box 7" hidden="1">
              <a:extLst>
                <a:ext uri="{63B3BB69-23CF-44E3-9099-C40C66FF867C}">
                  <a14:compatExt spid="_x0000_s80903"/>
                </a:ext>
                <a:ext uri="{FF2B5EF4-FFF2-40B4-BE49-F238E27FC236}">
                  <a16:creationId xmlns:a16="http://schemas.microsoft.com/office/drawing/2014/main" id="{00000000-0008-0000-2400-00000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80904" name="Check Box 8" hidden="1">
              <a:extLst>
                <a:ext uri="{63B3BB69-23CF-44E3-9099-C40C66FF867C}">
                  <a14:compatExt spid="_x0000_s80904"/>
                </a:ext>
                <a:ext uri="{FF2B5EF4-FFF2-40B4-BE49-F238E27FC236}">
                  <a16:creationId xmlns:a16="http://schemas.microsoft.com/office/drawing/2014/main" id="{00000000-0008-0000-2400-000008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80905" name="Check Box 9" hidden="1">
              <a:extLst>
                <a:ext uri="{63B3BB69-23CF-44E3-9099-C40C66FF867C}">
                  <a14:compatExt spid="_x0000_s80905"/>
                </a:ext>
                <a:ext uri="{FF2B5EF4-FFF2-40B4-BE49-F238E27FC236}">
                  <a16:creationId xmlns:a16="http://schemas.microsoft.com/office/drawing/2014/main" id="{00000000-0008-0000-2400-000009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2678430</xdr:colOff>
          <xdr:row>0</xdr:row>
          <xdr:rowOff>354330</xdr:rowOff>
        </xdr:from>
        <xdr:to>
          <xdr:col>1</xdr:col>
          <xdr:colOff>2983230</xdr:colOff>
          <xdr:row>1</xdr:row>
          <xdr:rowOff>171450</xdr:rowOff>
        </xdr:to>
        <xdr:sp macro="" textlink="">
          <xdr:nvSpPr>
            <xdr:cNvPr id="81921" name="Check Box 1" hidden="1">
              <a:extLst>
                <a:ext uri="{63B3BB69-23CF-44E3-9099-C40C66FF867C}">
                  <a14:compatExt spid="_x0000_s81921"/>
                </a:ext>
                <a:ext uri="{FF2B5EF4-FFF2-40B4-BE49-F238E27FC236}">
                  <a16:creationId xmlns:a16="http://schemas.microsoft.com/office/drawing/2014/main" id="{00000000-0008-0000-2500-00000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81922" name="Check Box 2" hidden="1">
              <a:extLst>
                <a:ext uri="{63B3BB69-23CF-44E3-9099-C40C66FF867C}">
                  <a14:compatExt spid="_x0000_s81922"/>
                </a:ext>
                <a:ext uri="{FF2B5EF4-FFF2-40B4-BE49-F238E27FC236}">
                  <a16:creationId xmlns:a16="http://schemas.microsoft.com/office/drawing/2014/main" id="{00000000-0008-0000-2500-00000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81923" name="Check Box 3" hidden="1">
              <a:extLst>
                <a:ext uri="{63B3BB69-23CF-44E3-9099-C40C66FF867C}">
                  <a14:compatExt spid="_x0000_s81923"/>
                </a:ext>
                <a:ext uri="{FF2B5EF4-FFF2-40B4-BE49-F238E27FC236}">
                  <a16:creationId xmlns:a16="http://schemas.microsoft.com/office/drawing/2014/main" id="{00000000-0008-0000-2500-00000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81924" name="Check Box 4" hidden="1">
              <a:extLst>
                <a:ext uri="{63B3BB69-23CF-44E3-9099-C40C66FF867C}">
                  <a14:compatExt spid="_x0000_s81924"/>
                </a:ext>
                <a:ext uri="{FF2B5EF4-FFF2-40B4-BE49-F238E27FC236}">
                  <a16:creationId xmlns:a16="http://schemas.microsoft.com/office/drawing/2014/main" id="{00000000-0008-0000-2500-00000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81925" name="Check Box 5" hidden="1">
              <a:extLst>
                <a:ext uri="{63B3BB69-23CF-44E3-9099-C40C66FF867C}">
                  <a14:compatExt spid="_x0000_s81925"/>
                </a:ext>
                <a:ext uri="{FF2B5EF4-FFF2-40B4-BE49-F238E27FC236}">
                  <a16:creationId xmlns:a16="http://schemas.microsoft.com/office/drawing/2014/main" id="{00000000-0008-0000-2500-000005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81926" name="Check Box 6" hidden="1">
              <a:extLst>
                <a:ext uri="{63B3BB69-23CF-44E3-9099-C40C66FF867C}">
                  <a14:compatExt spid="_x0000_s81926"/>
                </a:ext>
                <a:ext uri="{FF2B5EF4-FFF2-40B4-BE49-F238E27FC236}">
                  <a16:creationId xmlns:a16="http://schemas.microsoft.com/office/drawing/2014/main" id="{00000000-0008-0000-2500-000006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81927" name="Check Box 7" hidden="1">
              <a:extLst>
                <a:ext uri="{63B3BB69-23CF-44E3-9099-C40C66FF867C}">
                  <a14:compatExt spid="_x0000_s81927"/>
                </a:ext>
                <a:ext uri="{FF2B5EF4-FFF2-40B4-BE49-F238E27FC236}">
                  <a16:creationId xmlns:a16="http://schemas.microsoft.com/office/drawing/2014/main" id="{00000000-0008-0000-2500-000007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81928" name="Check Box 8" hidden="1">
              <a:extLst>
                <a:ext uri="{63B3BB69-23CF-44E3-9099-C40C66FF867C}">
                  <a14:compatExt spid="_x0000_s81928"/>
                </a:ext>
                <a:ext uri="{FF2B5EF4-FFF2-40B4-BE49-F238E27FC236}">
                  <a16:creationId xmlns:a16="http://schemas.microsoft.com/office/drawing/2014/main" id="{00000000-0008-0000-2500-000008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81929" name="Check Box 9" hidden="1">
              <a:extLst>
                <a:ext uri="{63B3BB69-23CF-44E3-9099-C40C66FF867C}">
                  <a14:compatExt spid="_x0000_s81929"/>
                </a:ext>
                <a:ext uri="{FF2B5EF4-FFF2-40B4-BE49-F238E27FC236}">
                  <a16:creationId xmlns:a16="http://schemas.microsoft.com/office/drawing/2014/main" id="{00000000-0008-0000-2500-000009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601980</xdr:colOff>
          <xdr:row>6</xdr:row>
          <xdr:rowOff>106680</xdr:rowOff>
        </xdr:from>
        <xdr:to>
          <xdr:col>3</xdr:col>
          <xdr:colOff>0</xdr:colOff>
          <xdr:row>6</xdr:row>
          <xdr:rowOff>487680</xdr:rowOff>
        </xdr:to>
        <xdr:sp macro="" textlink="">
          <xdr:nvSpPr>
            <xdr:cNvPr id="40961" name="Check Box 1" hidden="1">
              <a:extLst>
                <a:ext uri="{63B3BB69-23CF-44E3-9099-C40C66FF867C}">
                  <a14:compatExt spid="_x0000_s40961"/>
                </a:ext>
                <a:ext uri="{FF2B5EF4-FFF2-40B4-BE49-F238E27FC236}">
                  <a16:creationId xmlns:a16="http://schemas.microsoft.com/office/drawing/2014/main" id="{00000000-0008-0000-2600-00000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582930</xdr:colOff>
          <xdr:row>7</xdr:row>
          <xdr:rowOff>87630</xdr:rowOff>
        </xdr:from>
        <xdr:to>
          <xdr:col>2</xdr:col>
          <xdr:colOff>1325880</xdr:colOff>
          <xdr:row>7</xdr:row>
          <xdr:rowOff>514350</xdr:rowOff>
        </xdr:to>
        <xdr:sp macro="" textlink="">
          <xdr:nvSpPr>
            <xdr:cNvPr id="40962" name="Check Box 2" hidden="1">
              <a:extLst>
                <a:ext uri="{63B3BB69-23CF-44E3-9099-C40C66FF867C}">
                  <a14:compatExt spid="_x0000_s40962"/>
                </a:ext>
                <a:ext uri="{FF2B5EF4-FFF2-40B4-BE49-F238E27FC236}">
                  <a16:creationId xmlns:a16="http://schemas.microsoft.com/office/drawing/2014/main" id="{00000000-0008-0000-2600-00000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590550</xdr:colOff>
          <xdr:row>8</xdr:row>
          <xdr:rowOff>125730</xdr:rowOff>
        </xdr:from>
        <xdr:to>
          <xdr:col>2</xdr:col>
          <xdr:colOff>1333500</xdr:colOff>
          <xdr:row>8</xdr:row>
          <xdr:rowOff>525780</xdr:rowOff>
        </xdr:to>
        <xdr:sp macro="" textlink="">
          <xdr:nvSpPr>
            <xdr:cNvPr id="40963" name="Check Box 3" hidden="1">
              <a:extLst>
                <a:ext uri="{63B3BB69-23CF-44E3-9099-C40C66FF867C}">
                  <a14:compatExt spid="_x0000_s40963"/>
                </a:ext>
                <a:ext uri="{FF2B5EF4-FFF2-40B4-BE49-F238E27FC236}">
                  <a16:creationId xmlns:a16="http://schemas.microsoft.com/office/drawing/2014/main" id="{00000000-0008-0000-2600-00000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2716530</xdr:colOff>
          <xdr:row>1</xdr:row>
          <xdr:rowOff>11430</xdr:rowOff>
        </xdr:from>
        <xdr:to>
          <xdr:col>1</xdr:col>
          <xdr:colOff>3021330</xdr:colOff>
          <xdr:row>2</xdr:row>
          <xdr:rowOff>30480</xdr:rowOff>
        </xdr:to>
        <xdr:sp macro="" textlink="">
          <xdr:nvSpPr>
            <xdr:cNvPr id="40965" name="Check Box 5" hidden="1">
              <a:extLst>
                <a:ext uri="{63B3BB69-23CF-44E3-9099-C40C66FF867C}">
                  <a14:compatExt spid="_x0000_s40965"/>
                </a:ext>
                <a:ext uri="{FF2B5EF4-FFF2-40B4-BE49-F238E27FC236}">
                  <a16:creationId xmlns:a16="http://schemas.microsoft.com/office/drawing/2014/main" id="{00000000-0008-0000-2600-00000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190500</xdr:rowOff>
        </xdr:from>
        <xdr:to>
          <xdr:col>0</xdr:col>
          <xdr:colOff>963930</xdr:colOff>
          <xdr:row>21</xdr:row>
          <xdr:rowOff>0</xdr:rowOff>
        </xdr:to>
        <xdr:sp macro="" textlink="">
          <xdr:nvSpPr>
            <xdr:cNvPr id="40966" name="Check Box 6" hidden="1">
              <a:extLst>
                <a:ext uri="{63B3BB69-23CF-44E3-9099-C40C66FF867C}">
                  <a14:compatExt spid="_x0000_s40966"/>
                </a:ext>
                <a:ext uri="{FF2B5EF4-FFF2-40B4-BE49-F238E27FC236}">
                  <a16:creationId xmlns:a16="http://schemas.microsoft.com/office/drawing/2014/main" id="{00000000-0008-0000-2600-00000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182880</xdr:rowOff>
        </xdr:from>
        <xdr:to>
          <xdr:col>0</xdr:col>
          <xdr:colOff>906780</xdr:colOff>
          <xdr:row>22</xdr:row>
          <xdr:rowOff>0</xdr:rowOff>
        </xdr:to>
        <xdr:sp macro="" textlink="">
          <xdr:nvSpPr>
            <xdr:cNvPr id="40967" name="Check Box 7" hidden="1">
              <a:extLst>
                <a:ext uri="{63B3BB69-23CF-44E3-9099-C40C66FF867C}">
                  <a14:compatExt spid="_x0000_s40967"/>
                </a:ext>
                <a:ext uri="{FF2B5EF4-FFF2-40B4-BE49-F238E27FC236}">
                  <a16:creationId xmlns:a16="http://schemas.microsoft.com/office/drawing/2014/main" id="{00000000-0008-0000-2600-00000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1</xdr:col>
          <xdr:colOff>392430</xdr:colOff>
          <xdr:row>23</xdr:row>
          <xdr:rowOff>0</xdr:rowOff>
        </xdr:to>
        <xdr:sp macro="" textlink="">
          <xdr:nvSpPr>
            <xdr:cNvPr id="40968" name="Check Box 8" hidden="1">
              <a:extLst>
                <a:ext uri="{63B3BB69-23CF-44E3-9099-C40C66FF867C}">
                  <a14:compatExt spid="_x0000_s40968"/>
                </a:ext>
                <a:ext uri="{FF2B5EF4-FFF2-40B4-BE49-F238E27FC236}">
                  <a16:creationId xmlns:a16="http://schemas.microsoft.com/office/drawing/2014/main" id="{00000000-0008-0000-2600-00000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11430</xdr:rowOff>
        </xdr:from>
        <xdr:to>
          <xdr:col>0</xdr:col>
          <xdr:colOff>800100</xdr:colOff>
          <xdr:row>24</xdr:row>
          <xdr:rowOff>19050</xdr:rowOff>
        </xdr:to>
        <xdr:sp macro="" textlink="">
          <xdr:nvSpPr>
            <xdr:cNvPr id="40969" name="Check Box 9" hidden="1">
              <a:extLst>
                <a:ext uri="{63B3BB69-23CF-44E3-9099-C40C66FF867C}">
                  <a14:compatExt spid="_x0000_s40969"/>
                </a:ext>
                <a:ext uri="{FF2B5EF4-FFF2-40B4-BE49-F238E27FC236}">
                  <a16:creationId xmlns:a16="http://schemas.microsoft.com/office/drawing/2014/main" id="{00000000-0008-0000-2600-00000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11430</xdr:rowOff>
        </xdr:from>
        <xdr:to>
          <xdr:col>0</xdr:col>
          <xdr:colOff>800100</xdr:colOff>
          <xdr:row>25</xdr:row>
          <xdr:rowOff>19050</xdr:rowOff>
        </xdr:to>
        <xdr:sp macro="" textlink="">
          <xdr:nvSpPr>
            <xdr:cNvPr id="40970" name="Check Box 10" hidden="1">
              <a:extLst>
                <a:ext uri="{63B3BB69-23CF-44E3-9099-C40C66FF867C}">
                  <a14:compatExt spid="_x0000_s40970"/>
                </a:ext>
                <a:ext uri="{FF2B5EF4-FFF2-40B4-BE49-F238E27FC236}">
                  <a16:creationId xmlns:a16="http://schemas.microsoft.com/office/drawing/2014/main" id="{00000000-0008-0000-2600-00000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201930</xdr:rowOff>
        </xdr:from>
        <xdr:to>
          <xdr:col>0</xdr:col>
          <xdr:colOff>1097280</xdr:colOff>
          <xdr:row>26</xdr:row>
          <xdr:rowOff>19050</xdr:rowOff>
        </xdr:to>
        <xdr:sp macro="" textlink="">
          <xdr:nvSpPr>
            <xdr:cNvPr id="40971" name="Check Box 11" hidden="1">
              <a:extLst>
                <a:ext uri="{63B3BB69-23CF-44E3-9099-C40C66FF867C}">
                  <a14:compatExt spid="_x0000_s40971"/>
                </a:ext>
                <a:ext uri="{FF2B5EF4-FFF2-40B4-BE49-F238E27FC236}">
                  <a16:creationId xmlns:a16="http://schemas.microsoft.com/office/drawing/2014/main" id="{00000000-0008-0000-2600-00000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1123950</xdr:colOff>
          <xdr:row>27</xdr:row>
          <xdr:rowOff>11430</xdr:rowOff>
        </xdr:to>
        <xdr:sp macro="" textlink="">
          <xdr:nvSpPr>
            <xdr:cNvPr id="40972" name="Check Box 12" hidden="1">
              <a:extLst>
                <a:ext uri="{63B3BB69-23CF-44E3-9099-C40C66FF867C}">
                  <a14:compatExt spid="_x0000_s40972"/>
                </a:ext>
                <a:ext uri="{FF2B5EF4-FFF2-40B4-BE49-F238E27FC236}">
                  <a16:creationId xmlns:a16="http://schemas.microsoft.com/office/drawing/2014/main" id="{00000000-0008-0000-2600-00000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857250</xdr:colOff>
          <xdr:row>28</xdr:row>
          <xdr:rowOff>11430</xdr:rowOff>
        </xdr:to>
        <xdr:sp macro="" textlink="">
          <xdr:nvSpPr>
            <xdr:cNvPr id="40973" name="Check Box 13" hidden="1">
              <a:extLst>
                <a:ext uri="{63B3BB69-23CF-44E3-9099-C40C66FF867C}">
                  <a14:compatExt spid="_x0000_s40973"/>
                </a:ext>
                <a:ext uri="{FF2B5EF4-FFF2-40B4-BE49-F238E27FC236}">
                  <a16:creationId xmlns:a16="http://schemas.microsoft.com/office/drawing/2014/main" id="{00000000-0008-0000-2600-00000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2686050</xdr:colOff>
          <xdr:row>2</xdr:row>
          <xdr:rowOff>11430</xdr:rowOff>
        </xdr:from>
        <xdr:to>
          <xdr:col>1</xdr:col>
          <xdr:colOff>2990850</xdr:colOff>
          <xdr:row>3</xdr:row>
          <xdr:rowOff>30480</xdr:rowOff>
        </xdr:to>
        <xdr:sp macro="" textlink="">
          <xdr:nvSpPr>
            <xdr:cNvPr id="96257" name="Check Box 1" hidden="1">
              <a:extLst>
                <a:ext uri="{63B3BB69-23CF-44E3-9099-C40C66FF867C}">
                  <a14:compatExt spid="_x0000_s96257"/>
                </a:ext>
                <a:ext uri="{FF2B5EF4-FFF2-40B4-BE49-F238E27FC236}">
                  <a16:creationId xmlns:a16="http://schemas.microsoft.com/office/drawing/2014/main" id="{00000000-0008-0000-2800-000001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96258" name="Check Box 2" hidden="1">
              <a:extLst>
                <a:ext uri="{63B3BB69-23CF-44E3-9099-C40C66FF867C}">
                  <a14:compatExt spid="_x0000_s96258"/>
                </a:ext>
                <a:ext uri="{FF2B5EF4-FFF2-40B4-BE49-F238E27FC236}">
                  <a16:creationId xmlns:a16="http://schemas.microsoft.com/office/drawing/2014/main" id="{00000000-0008-0000-2800-000002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96259" name="Check Box 3" hidden="1">
              <a:extLst>
                <a:ext uri="{63B3BB69-23CF-44E3-9099-C40C66FF867C}">
                  <a14:compatExt spid="_x0000_s96259"/>
                </a:ext>
                <a:ext uri="{FF2B5EF4-FFF2-40B4-BE49-F238E27FC236}">
                  <a16:creationId xmlns:a16="http://schemas.microsoft.com/office/drawing/2014/main" id="{00000000-0008-0000-2800-000003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96260" name="Check Box 4" hidden="1">
              <a:extLst>
                <a:ext uri="{63B3BB69-23CF-44E3-9099-C40C66FF867C}">
                  <a14:compatExt spid="_x0000_s96260"/>
                </a:ext>
                <a:ext uri="{FF2B5EF4-FFF2-40B4-BE49-F238E27FC236}">
                  <a16:creationId xmlns:a16="http://schemas.microsoft.com/office/drawing/2014/main" id="{00000000-0008-0000-2800-000004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96261" name="Check Box 5" hidden="1">
              <a:extLst>
                <a:ext uri="{63B3BB69-23CF-44E3-9099-C40C66FF867C}">
                  <a14:compatExt spid="_x0000_s96261"/>
                </a:ext>
                <a:ext uri="{FF2B5EF4-FFF2-40B4-BE49-F238E27FC236}">
                  <a16:creationId xmlns:a16="http://schemas.microsoft.com/office/drawing/2014/main" id="{00000000-0008-0000-2800-000005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96262" name="Check Box 6" hidden="1">
              <a:extLst>
                <a:ext uri="{63B3BB69-23CF-44E3-9099-C40C66FF867C}">
                  <a14:compatExt spid="_x0000_s96262"/>
                </a:ext>
                <a:ext uri="{FF2B5EF4-FFF2-40B4-BE49-F238E27FC236}">
                  <a16:creationId xmlns:a16="http://schemas.microsoft.com/office/drawing/2014/main" id="{00000000-0008-0000-2800-000006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96263" name="Check Box 7" hidden="1">
              <a:extLst>
                <a:ext uri="{63B3BB69-23CF-44E3-9099-C40C66FF867C}">
                  <a14:compatExt spid="_x0000_s96263"/>
                </a:ext>
                <a:ext uri="{FF2B5EF4-FFF2-40B4-BE49-F238E27FC236}">
                  <a16:creationId xmlns:a16="http://schemas.microsoft.com/office/drawing/2014/main" id="{00000000-0008-0000-2800-000007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96264" name="Check Box 8" hidden="1">
              <a:extLst>
                <a:ext uri="{63B3BB69-23CF-44E3-9099-C40C66FF867C}">
                  <a14:compatExt spid="_x0000_s96264"/>
                </a:ext>
                <a:ext uri="{FF2B5EF4-FFF2-40B4-BE49-F238E27FC236}">
                  <a16:creationId xmlns:a16="http://schemas.microsoft.com/office/drawing/2014/main" id="{00000000-0008-0000-2800-000008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96265" name="Check Box 9" hidden="1">
              <a:extLst>
                <a:ext uri="{63B3BB69-23CF-44E3-9099-C40C66FF867C}">
                  <a14:compatExt spid="_x0000_s96265"/>
                </a:ext>
                <a:ext uri="{FF2B5EF4-FFF2-40B4-BE49-F238E27FC236}">
                  <a16:creationId xmlns:a16="http://schemas.microsoft.com/office/drawing/2014/main" id="{00000000-0008-0000-2800-000009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2609850</xdr:colOff>
          <xdr:row>1</xdr:row>
          <xdr:rowOff>11430</xdr:rowOff>
        </xdr:from>
        <xdr:to>
          <xdr:col>1</xdr:col>
          <xdr:colOff>2914650</xdr:colOff>
          <xdr:row>2</xdr:row>
          <xdr:rowOff>30480</xdr:rowOff>
        </xdr:to>
        <xdr:sp macro="" textlink="">
          <xdr:nvSpPr>
            <xdr:cNvPr id="83969" name="Check Box 1" hidden="1">
              <a:extLst>
                <a:ext uri="{63B3BB69-23CF-44E3-9099-C40C66FF867C}">
                  <a14:compatExt spid="_x0000_s83969"/>
                </a:ext>
                <a:ext uri="{FF2B5EF4-FFF2-40B4-BE49-F238E27FC236}">
                  <a16:creationId xmlns:a16="http://schemas.microsoft.com/office/drawing/2014/main" id="{00000000-0008-0000-29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83970" name="Check Box 2" hidden="1">
              <a:extLst>
                <a:ext uri="{63B3BB69-23CF-44E3-9099-C40C66FF867C}">
                  <a14:compatExt spid="_x0000_s83970"/>
                </a:ext>
                <a:ext uri="{FF2B5EF4-FFF2-40B4-BE49-F238E27FC236}">
                  <a16:creationId xmlns:a16="http://schemas.microsoft.com/office/drawing/2014/main" id="{00000000-0008-0000-29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83971" name="Check Box 3" hidden="1">
              <a:extLst>
                <a:ext uri="{63B3BB69-23CF-44E3-9099-C40C66FF867C}">
                  <a14:compatExt spid="_x0000_s83971"/>
                </a:ext>
                <a:ext uri="{FF2B5EF4-FFF2-40B4-BE49-F238E27FC236}">
                  <a16:creationId xmlns:a16="http://schemas.microsoft.com/office/drawing/2014/main" id="{00000000-0008-0000-29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83972" name="Check Box 4" hidden="1">
              <a:extLst>
                <a:ext uri="{63B3BB69-23CF-44E3-9099-C40C66FF867C}">
                  <a14:compatExt spid="_x0000_s83972"/>
                </a:ext>
                <a:ext uri="{FF2B5EF4-FFF2-40B4-BE49-F238E27FC236}">
                  <a16:creationId xmlns:a16="http://schemas.microsoft.com/office/drawing/2014/main" id="{00000000-0008-0000-2900-00000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id="{00000000-0008-0000-29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id="{00000000-0008-0000-29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id="{00000000-0008-0000-29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id="{00000000-0008-0000-29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29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2754630</xdr:colOff>
          <xdr:row>1</xdr:row>
          <xdr:rowOff>0</xdr:rowOff>
        </xdr:from>
        <xdr:to>
          <xdr:col>1</xdr:col>
          <xdr:colOff>3059430</xdr:colOff>
          <xdr:row>2</xdr:row>
          <xdr:rowOff>19050</xdr:rowOff>
        </xdr:to>
        <xdr:sp macro="" textlink="">
          <xdr:nvSpPr>
            <xdr:cNvPr id="84993" name="Check Box 1" hidden="1">
              <a:extLst>
                <a:ext uri="{63B3BB69-23CF-44E3-9099-C40C66FF867C}">
                  <a14:compatExt spid="_x0000_s84993"/>
                </a:ext>
                <a:ext uri="{FF2B5EF4-FFF2-40B4-BE49-F238E27FC236}">
                  <a16:creationId xmlns:a16="http://schemas.microsoft.com/office/drawing/2014/main" id="{00000000-0008-0000-2A00-000001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84994" name="Check Box 2" hidden="1">
              <a:extLst>
                <a:ext uri="{63B3BB69-23CF-44E3-9099-C40C66FF867C}">
                  <a14:compatExt spid="_x0000_s84994"/>
                </a:ext>
                <a:ext uri="{FF2B5EF4-FFF2-40B4-BE49-F238E27FC236}">
                  <a16:creationId xmlns:a16="http://schemas.microsoft.com/office/drawing/2014/main" id="{00000000-0008-0000-2A00-000002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84995" name="Check Box 3" hidden="1">
              <a:extLst>
                <a:ext uri="{63B3BB69-23CF-44E3-9099-C40C66FF867C}">
                  <a14:compatExt spid="_x0000_s84995"/>
                </a:ext>
                <a:ext uri="{FF2B5EF4-FFF2-40B4-BE49-F238E27FC236}">
                  <a16:creationId xmlns:a16="http://schemas.microsoft.com/office/drawing/2014/main" id="{00000000-0008-0000-2A00-000003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84996" name="Check Box 4" hidden="1">
              <a:extLst>
                <a:ext uri="{63B3BB69-23CF-44E3-9099-C40C66FF867C}">
                  <a14:compatExt spid="_x0000_s84996"/>
                </a:ext>
                <a:ext uri="{FF2B5EF4-FFF2-40B4-BE49-F238E27FC236}">
                  <a16:creationId xmlns:a16="http://schemas.microsoft.com/office/drawing/2014/main" id="{00000000-0008-0000-2A00-000004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84997" name="Check Box 5" hidden="1">
              <a:extLst>
                <a:ext uri="{63B3BB69-23CF-44E3-9099-C40C66FF867C}">
                  <a14:compatExt spid="_x0000_s84997"/>
                </a:ext>
                <a:ext uri="{FF2B5EF4-FFF2-40B4-BE49-F238E27FC236}">
                  <a16:creationId xmlns:a16="http://schemas.microsoft.com/office/drawing/2014/main" id="{00000000-0008-0000-2A00-000005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84998" name="Check Box 6" hidden="1">
              <a:extLst>
                <a:ext uri="{63B3BB69-23CF-44E3-9099-C40C66FF867C}">
                  <a14:compatExt spid="_x0000_s84998"/>
                </a:ext>
                <a:ext uri="{FF2B5EF4-FFF2-40B4-BE49-F238E27FC236}">
                  <a16:creationId xmlns:a16="http://schemas.microsoft.com/office/drawing/2014/main" id="{00000000-0008-0000-2A00-000006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84999" name="Check Box 7" hidden="1">
              <a:extLst>
                <a:ext uri="{63B3BB69-23CF-44E3-9099-C40C66FF867C}">
                  <a14:compatExt spid="_x0000_s84999"/>
                </a:ext>
                <a:ext uri="{FF2B5EF4-FFF2-40B4-BE49-F238E27FC236}">
                  <a16:creationId xmlns:a16="http://schemas.microsoft.com/office/drawing/2014/main" id="{00000000-0008-0000-2A00-000007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85000" name="Check Box 8" hidden="1">
              <a:extLst>
                <a:ext uri="{63B3BB69-23CF-44E3-9099-C40C66FF867C}">
                  <a14:compatExt spid="_x0000_s85000"/>
                </a:ext>
                <a:ext uri="{FF2B5EF4-FFF2-40B4-BE49-F238E27FC236}">
                  <a16:creationId xmlns:a16="http://schemas.microsoft.com/office/drawing/2014/main" id="{00000000-0008-0000-2A00-000008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85001" name="Check Box 9" hidden="1">
              <a:extLst>
                <a:ext uri="{63B3BB69-23CF-44E3-9099-C40C66FF867C}">
                  <a14:compatExt spid="_x0000_s85001"/>
                </a:ext>
                <a:ext uri="{FF2B5EF4-FFF2-40B4-BE49-F238E27FC236}">
                  <a16:creationId xmlns:a16="http://schemas.microsoft.com/office/drawing/2014/main" id="{00000000-0008-0000-2A00-000009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2564130</xdr:colOff>
          <xdr:row>0</xdr:row>
          <xdr:rowOff>240030</xdr:rowOff>
        </xdr:from>
        <xdr:to>
          <xdr:col>1</xdr:col>
          <xdr:colOff>2907030</xdr:colOff>
          <xdr:row>2</xdr:row>
          <xdr:rowOff>0</xdr:rowOff>
        </xdr:to>
        <xdr:sp macro="" textlink="">
          <xdr:nvSpPr>
            <xdr:cNvPr id="86017" name="Check Box 1" hidden="1">
              <a:extLst>
                <a:ext uri="{63B3BB69-23CF-44E3-9099-C40C66FF867C}">
                  <a14:compatExt spid="_x0000_s86017"/>
                </a:ext>
                <a:ext uri="{FF2B5EF4-FFF2-40B4-BE49-F238E27FC236}">
                  <a16:creationId xmlns:a16="http://schemas.microsoft.com/office/drawing/2014/main" id="{00000000-0008-0000-2B00-000001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86018" name="Check Box 2" hidden="1">
              <a:extLst>
                <a:ext uri="{63B3BB69-23CF-44E3-9099-C40C66FF867C}">
                  <a14:compatExt spid="_x0000_s86018"/>
                </a:ext>
                <a:ext uri="{FF2B5EF4-FFF2-40B4-BE49-F238E27FC236}">
                  <a16:creationId xmlns:a16="http://schemas.microsoft.com/office/drawing/2014/main" id="{00000000-0008-0000-2B00-000002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86019" name="Check Box 3" hidden="1">
              <a:extLst>
                <a:ext uri="{63B3BB69-23CF-44E3-9099-C40C66FF867C}">
                  <a14:compatExt spid="_x0000_s86019"/>
                </a:ext>
                <a:ext uri="{FF2B5EF4-FFF2-40B4-BE49-F238E27FC236}">
                  <a16:creationId xmlns:a16="http://schemas.microsoft.com/office/drawing/2014/main" id="{00000000-0008-0000-2B00-000003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86020" name="Check Box 4" hidden="1">
              <a:extLst>
                <a:ext uri="{63B3BB69-23CF-44E3-9099-C40C66FF867C}">
                  <a14:compatExt spid="_x0000_s86020"/>
                </a:ext>
                <a:ext uri="{FF2B5EF4-FFF2-40B4-BE49-F238E27FC236}">
                  <a16:creationId xmlns:a16="http://schemas.microsoft.com/office/drawing/2014/main" id="{00000000-0008-0000-2B00-000004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86021" name="Check Box 5" hidden="1">
              <a:extLst>
                <a:ext uri="{63B3BB69-23CF-44E3-9099-C40C66FF867C}">
                  <a14:compatExt spid="_x0000_s86021"/>
                </a:ext>
                <a:ext uri="{FF2B5EF4-FFF2-40B4-BE49-F238E27FC236}">
                  <a16:creationId xmlns:a16="http://schemas.microsoft.com/office/drawing/2014/main" id="{00000000-0008-0000-2B00-000005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86022" name="Check Box 6" hidden="1">
              <a:extLst>
                <a:ext uri="{63B3BB69-23CF-44E3-9099-C40C66FF867C}">
                  <a14:compatExt spid="_x0000_s86022"/>
                </a:ext>
                <a:ext uri="{FF2B5EF4-FFF2-40B4-BE49-F238E27FC236}">
                  <a16:creationId xmlns:a16="http://schemas.microsoft.com/office/drawing/2014/main" id="{00000000-0008-0000-2B00-000006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86023" name="Check Box 7" hidden="1">
              <a:extLst>
                <a:ext uri="{63B3BB69-23CF-44E3-9099-C40C66FF867C}">
                  <a14:compatExt spid="_x0000_s86023"/>
                </a:ext>
                <a:ext uri="{FF2B5EF4-FFF2-40B4-BE49-F238E27FC236}">
                  <a16:creationId xmlns:a16="http://schemas.microsoft.com/office/drawing/2014/main" id="{00000000-0008-0000-2B00-000007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86024" name="Check Box 8" hidden="1">
              <a:extLst>
                <a:ext uri="{63B3BB69-23CF-44E3-9099-C40C66FF867C}">
                  <a14:compatExt spid="_x0000_s86024"/>
                </a:ext>
                <a:ext uri="{FF2B5EF4-FFF2-40B4-BE49-F238E27FC236}">
                  <a16:creationId xmlns:a16="http://schemas.microsoft.com/office/drawing/2014/main" id="{00000000-0008-0000-2B00-000008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86025" name="Check Box 9" hidden="1">
              <a:extLst>
                <a:ext uri="{63B3BB69-23CF-44E3-9099-C40C66FF867C}">
                  <a14:compatExt spid="_x0000_s86025"/>
                </a:ext>
                <a:ext uri="{FF2B5EF4-FFF2-40B4-BE49-F238E27FC236}">
                  <a16:creationId xmlns:a16="http://schemas.microsoft.com/office/drawing/2014/main" id="{00000000-0008-0000-2B00-000009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2640330</xdr:colOff>
          <xdr:row>1</xdr:row>
          <xdr:rowOff>0</xdr:rowOff>
        </xdr:from>
        <xdr:to>
          <xdr:col>1</xdr:col>
          <xdr:colOff>2945130</xdr:colOff>
          <xdr:row>2</xdr:row>
          <xdr:rowOff>19050</xdr:rowOff>
        </xdr:to>
        <xdr:sp macro="" textlink="">
          <xdr:nvSpPr>
            <xdr:cNvPr id="87041" name="Check Box 1" hidden="1">
              <a:extLst>
                <a:ext uri="{63B3BB69-23CF-44E3-9099-C40C66FF867C}">
                  <a14:compatExt spid="_x0000_s87041"/>
                </a:ext>
                <a:ext uri="{FF2B5EF4-FFF2-40B4-BE49-F238E27FC236}">
                  <a16:creationId xmlns:a16="http://schemas.microsoft.com/office/drawing/2014/main" id="{00000000-0008-0000-2C00-000001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87042" name="Check Box 2" hidden="1">
              <a:extLst>
                <a:ext uri="{63B3BB69-23CF-44E3-9099-C40C66FF867C}">
                  <a14:compatExt spid="_x0000_s87042"/>
                </a:ext>
                <a:ext uri="{FF2B5EF4-FFF2-40B4-BE49-F238E27FC236}">
                  <a16:creationId xmlns:a16="http://schemas.microsoft.com/office/drawing/2014/main" id="{00000000-0008-0000-2C00-000002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87043" name="Check Box 3" hidden="1">
              <a:extLst>
                <a:ext uri="{63B3BB69-23CF-44E3-9099-C40C66FF867C}">
                  <a14:compatExt spid="_x0000_s87043"/>
                </a:ext>
                <a:ext uri="{FF2B5EF4-FFF2-40B4-BE49-F238E27FC236}">
                  <a16:creationId xmlns:a16="http://schemas.microsoft.com/office/drawing/2014/main" id="{00000000-0008-0000-2C00-000003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87044" name="Check Box 4" hidden="1">
              <a:extLst>
                <a:ext uri="{63B3BB69-23CF-44E3-9099-C40C66FF867C}">
                  <a14:compatExt spid="_x0000_s87044"/>
                </a:ext>
                <a:ext uri="{FF2B5EF4-FFF2-40B4-BE49-F238E27FC236}">
                  <a16:creationId xmlns:a16="http://schemas.microsoft.com/office/drawing/2014/main" id="{00000000-0008-0000-2C00-000004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87045" name="Check Box 5" hidden="1">
              <a:extLst>
                <a:ext uri="{63B3BB69-23CF-44E3-9099-C40C66FF867C}">
                  <a14:compatExt spid="_x0000_s87045"/>
                </a:ext>
                <a:ext uri="{FF2B5EF4-FFF2-40B4-BE49-F238E27FC236}">
                  <a16:creationId xmlns:a16="http://schemas.microsoft.com/office/drawing/2014/main" id="{00000000-0008-0000-2C00-000005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87046" name="Check Box 6" hidden="1">
              <a:extLst>
                <a:ext uri="{63B3BB69-23CF-44E3-9099-C40C66FF867C}">
                  <a14:compatExt spid="_x0000_s87046"/>
                </a:ext>
                <a:ext uri="{FF2B5EF4-FFF2-40B4-BE49-F238E27FC236}">
                  <a16:creationId xmlns:a16="http://schemas.microsoft.com/office/drawing/2014/main" id="{00000000-0008-0000-2C00-000006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87047" name="Check Box 7" hidden="1">
              <a:extLst>
                <a:ext uri="{63B3BB69-23CF-44E3-9099-C40C66FF867C}">
                  <a14:compatExt spid="_x0000_s87047"/>
                </a:ext>
                <a:ext uri="{FF2B5EF4-FFF2-40B4-BE49-F238E27FC236}">
                  <a16:creationId xmlns:a16="http://schemas.microsoft.com/office/drawing/2014/main" id="{00000000-0008-0000-2C00-000007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87048" name="Check Box 8" hidden="1">
              <a:extLst>
                <a:ext uri="{63B3BB69-23CF-44E3-9099-C40C66FF867C}">
                  <a14:compatExt spid="_x0000_s87048"/>
                </a:ext>
                <a:ext uri="{FF2B5EF4-FFF2-40B4-BE49-F238E27FC236}">
                  <a16:creationId xmlns:a16="http://schemas.microsoft.com/office/drawing/2014/main" id="{00000000-0008-0000-2C00-000008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87049" name="Check Box 9" hidden="1">
              <a:extLst>
                <a:ext uri="{63B3BB69-23CF-44E3-9099-C40C66FF867C}">
                  <a14:compatExt spid="_x0000_s87049"/>
                </a:ext>
                <a:ext uri="{FF2B5EF4-FFF2-40B4-BE49-F238E27FC236}">
                  <a16:creationId xmlns:a16="http://schemas.microsoft.com/office/drawing/2014/main" id="{00000000-0008-0000-2C00-000009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2849880</xdr:colOff>
          <xdr:row>0</xdr:row>
          <xdr:rowOff>259080</xdr:rowOff>
        </xdr:from>
        <xdr:to>
          <xdr:col>1</xdr:col>
          <xdr:colOff>3154680</xdr:colOff>
          <xdr:row>2</xdr:row>
          <xdr:rowOff>11430</xdr:rowOff>
        </xdr:to>
        <xdr:sp macro="" textlink="">
          <xdr:nvSpPr>
            <xdr:cNvPr id="89089" name="Check Box 1" hidden="1">
              <a:extLst>
                <a:ext uri="{63B3BB69-23CF-44E3-9099-C40C66FF867C}">
                  <a14:compatExt spid="_x0000_s89089"/>
                </a:ext>
                <a:ext uri="{FF2B5EF4-FFF2-40B4-BE49-F238E27FC236}">
                  <a16:creationId xmlns:a16="http://schemas.microsoft.com/office/drawing/2014/main" id="{00000000-0008-0000-2E00-000001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190500</xdr:rowOff>
        </xdr:from>
        <xdr:to>
          <xdr:col>0</xdr:col>
          <xdr:colOff>963930</xdr:colOff>
          <xdr:row>24</xdr:row>
          <xdr:rowOff>0</xdr:rowOff>
        </xdr:to>
        <xdr:sp macro="" textlink="">
          <xdr:nvSpPr>
            <xdr:cNvPr id="89090" name="Check Box 2" hidden="1">
              <a:extLst>
                <a:ext uri="{63B3BB69-23CF-44E3-9099-C40C66FF867C}">
                  <a14:compatExt spid="_x0000_s89090"/>
                </a:ext>
                <a:ext uri="{FF2B5EF4-FFF2-40B4-BE49-F238E27FC236}">
                  <a16:creationId xmlns:a16="http://schemas.microsoft.com/office/drawing/2014/main" id="{00000000-0008-0000-2E00-000002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Monitoring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182880</xdr:rowOff>
        </xdr:from>
        <xdr:to>
          <xdr:col>0</xdr:col>
          <xdr:colOff>906780</xdr:colOff>
          <xdr:row>25</xdr:row>
          <xdr:rowOff>0</xdr:rowOff>
        </xdr:to>
        <xdr:sp macro="" textlink="">
          <xdr:nvSpPr>
            <xdr:cNvPr id="89091" name="Check Box 3" hidden="1">
              <a:extLst>
                <a:ext uri="{63B3BB69-23CF-44E3-9099-C40C66FF867C}">
                  <a14:compatExt spid="_x0000_s89091"/>
                </a:ext>
                <a:ext uri="{FF2B5EF4-FFF2-40B4-BE49-F238E27FC236}">
                  <a16:creationId xmlns:a16="http://schemas.microsoft.com/office/drawing/2014/main" id="{00000000-0008-0000-2E00-000003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Research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392430</xdr:colOff>
          <xdr:row>26</xdr:row>
          <xdr:rowOff>0</xdr:rowOff>
        </xdr:to>
        <xdr:sp macro="" textlink="">
          <xdr:nvSpPr>
            <xdr:cNvPr id="89092" name="Check Box 4" hidden="1">
              <a:extLst>
                <a:ext uri="{63B3BB69-23CF-44E3-9099-C40C66FF867C}">
                  <a14:compatExt spid="_x0000_s89092"/>
                </a:ext>
                <a:ext uri="{FF2B5EF4-FFF2-40B4-BE49-F238E27FC236}">
                  <a16:creationId xmlns:a16="http://schemas.microsoft.com/office/drawing/2014/main" id="{00000000-0008-0000-2E00-000004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Planning documents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11430</xdr:rowOff>
        </xdr:from>
        <xdr:to>
          <xdr:col>0</xdr:col>
          <xdr:colOff>800100</xdr:colOff>
          <xdr:row>27</xdr:row>
          <xdr:rowOff>19050</xdr:rowOff>
        </xdr:to>
        <xdr:sp macro="" textlink="">
          <xdr:nvSpPr>
            <xdr:cNvPr id="89093" name="Check Box 5" hidden="1">
              <a:extLst>
                <a:ext uri="{63B3BB69-23CF-44E3-9099-C40C66FF867C}">
                  <a14:compatExt spid="_x0000_s89093"/>
                </a:ext>
                <a:ext uri="{FF2B5EF4-FFF2-40B4-BE49-F238E27FC236}">
                  <a16:creationId xmlns:a16="http://schemas.microsoft.com/office/drawing/2014/main" id="{00000000-0008-0000-2E00-000005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Staff experience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11430</xdr:rowOff>
        </xdr:from>
        <xdr:to>
          <xdr:col>0</xdr:col>
          <xdr:colOff>800100</xdr:colOff>
          <xdr:row>28</xdr:row>
          <xdr:rowOff>19050</xdr:rowOff>
        </xdr:to>
        <xdr:sp macro="" textlink="">
          <xdr:nvSpPr>
            <xdr:cNvPr id="89094" name="Check Box 6" hidden="1">
              <a:extLst>
                <a:ext uri="{63B3BB69-23CF-44E3-9099-C40C66FF867C}">
                  <a14:compatExt spid="_x0000_s89094"/>
                </a:ext>
                <a:ext uri="{FF2B5EF4-FFF2-40B4-BE49-F238E27FC236}">
                  <a16:creationId xmlns:a16="http://schemas.microsoft.com/office/drawing/2014/main" id="{00000000-0008-0000-2E00-000006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Expert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201930</xdr:rowOff>
        </xdr:from>
        <xdr:to>
          <xdr:col>0</xdr:col>
          <xdr:colOff>1097280</xdr:colOff>
          <xdr:row>29</xdr:row>
          <xdr:rowOff>19050</xdr:rowOff>
        </xdr:to>
        <xdr:sp macro="" textlink="">
          <xdr:nvSpPr>
            <xdr:cNvPr id="89095" name="Check Box 7" hidden="1">
              <a:extLst>
                <a:ext uri="{63B3BB69-23CF-44E3-9099-C40C66FF867C}">
                  <a14:compatExt spid="_x0000_s89095"/>
                </a:ext>
                <a:ext uri="{FF2B5EF4-FFF2-40B4-BE49-F238E27FC236}">
                  <a16:creationId xmlns:a16="http://schemas.microsoft.com/office/drawing/2014/main" id="{00000000-0008-0000-2E00-000007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Community opinion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1123950</xdr:colOff>
          <xdr:row>30</xdr:row>
          <xdr:rowOff>11430</xdr:rowOff>
        </xdr:to>
        <xdr:sp macro="" textlink="">
          <xdr:nvSpPr>
            <xdr:cNvPr id="89096" name="Check Box 8" hidden="1">
              <a:extLst>
                <a:ext uri="{63B3BB69-23CF-44E3-9099-C40C66FF867C}">
                  <a14:compatExt spid="_x0000_s89096"/>
                </a:ext>
                <a:ext uri="{FF2B5EF4-FFF2-40B4-BE49-F238E27FC236}">
                  <a16:creationId xmlns:a16="http://schemas.microsoft.com/office/drawing/2014/main" id="{00000000-0008-0000-2E00-000008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Departmental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857250</xdr:colOff>
          <xdr:row>31</xdr:row>
          <xdr:rowOff>11430</xdr:rowOff>
        </xdr:to>
        <xdr:sp macro="" textlink="">
          <xdr:nvSpPr>
            <xdr:cNvPr id="89097" name="Check Box 9" hidden="1">
              <a:extLst>
                <a:ext uri="{63B3BB69-23CF-44E3-9099-C40C66FF867C}">
                  <a14:compatExt spid="_x0000_s89097"/>
                </a:ext>
                <a:ext uri="{FF2B5EF4-FFF2-40B4-BE49-F238E27FC236}">
                  <a16:creationId xmlns:a16="http://schemas.microsoft.com/office/drawing/2014/main" id="{00000000-0008-0000-2E00-000009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AU" sz="800" b="0" i="0" u="none" strike="noStrike" baseline="0">
                  <a:solidFill>
                    <a:srgbClr val="000000"/>
                  </a:solidFill>
                  <a:latin typeface="Segoe UI"/>
                  <a:cs typeface="Segoe UI"/>
                </a:rPr>
                <a:t>Other (specify)</a:t>
              </a:r>
            </a:p>
          </xdr:txBody>
        </xdr:sp>
        <xdr:clientData/>
      </xdr:twoCellAnchor>
    </mc:Choice>
    <mc:Fallback/>
  </mc:AlternateContent>
</xdr:wsDr>
</file>

<file path=xl/theme/theme1.xml><?xml version="1.0" encoding="utf-8"?>
<a:theme xmlns:a="http://schemas.openxmlformats.org/drawingml/2006/main" name="Office-Design">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3.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ctrlProp" Target="../ctrlProps/ctrlProp18.xml"/><Relationship Id="rId7" Type="http://schemas.openxmlformats.org/officeDocument/2006/relationships/ctrlProp" Target="../ctrlProps/ctrlProp22.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0" Type="http://schemas.openxmlformats.org/officeDocument/2006/relationships/ctrlProp" Target="../ctrlProps/ctrlProp2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ctrlProp" Target="../ctrlProps/ctrlProp27.xml"/><Relationship Id="rId7" Type="http://schemas.openxmlformats.org/officeDocument/2006/relationships/ctrlProp" Target="../ctrlProps/ctrlProp31.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1.xml"/><Relationship Id="rId3" Type="http://schemas.openxmlformats.org/officeDocument/2006/relationships/ctrlProp" Target="../ctrlProps/ctrlProp36.xml"/><Relationship Id="rId7" Type="http://schemas.openxmlformats.org/officeDocument/2006/relationships/ctrlProp" Target="../ctrlProps/ctrlProp40.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39.xml"/><Relationship Id="rId11" Type="http://schemas.openxmlformats.org/officeDocument/2006/relationships/ctrlProp" Target="../ctrlProps/ctrlProp44.xml"/><Relationship Id="rId5" Type="http://schemas.openxmlformats.org/officeDocument/2006/relationships/ctrlProp" Target="../ctrlProps/ctrlProp38.xml"/><Relationship Id="rId10" Type="http://schemas.openxmlformats.org/officeDocument/2006/relationships/ctrlProp" Target="../ctrlProps/ctrlProp43.xml"/><Relationship Id="rId4" Type="http://schemas.openxmlformats.org/officeDocument/2006/relationships/ctrlProp" Target="../ctrlProps/ctrlProp37.xml"/><Relationship Id="rId9" Type="http://schemas.openxmlformats.org/officeDocument/2006/relationships/ctrlProp" Target="../ctrlProps/ctrlProp42.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ctrlProp" Target="../ctrlProps/ctrlProp54.xml"/><Relationship Id="rId7" Type="http://schemas.openxmlformats.org/officeDocument/2006/relationships/ctrlProp" Target="../ctrlProps/ctrlProp58.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57.xml"/><Relationship Id="rId11" Type="http://schemas.openxmlformats.org/officeDocument/2006/relationships/ctrlProp" Target="../ctrlProps/ctrlProp62.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68.xml"/><Relationship Id="rId3" Type="http://schemas.openxmlformats.org/officeDocument/2006/relationships/ctrlProp" Target="../ctrlProps/ctrlProp63.xml"/><Relationship Id="rId7" Type="http://schemas.openxmlformats.org/officeDocument/2006/relationships/ctrlProp" Target="../ctrlProps/ctrlProp67.xml"/><Relationship Id="rId2" Type="http://schemas.openxmlformats.org/officeDocument/2006/relationships/vmlDrawing" Target="../drawings/vmlDrawing7.vml"/><Relationship Id="rId1" Type="http://schemas.openxmlformats.org/officeDocument/2006/relationships/drawing" Target="../drawings/drawing9.xml"/><Relationship Id="rId6" Type="http://schemas.openxmlformats.org/officeDocument/2006/relationships/ctrlProp" Target="../ctrlProps/ctrlProp66.xml"/><Relationship Id="rId11" Type="http://schemas.openxmlformats.org/officeDocument/2006/relationships/ctrlProp" Target="../ctrlProps/ctrlProp71.xml"/><Relationship Id="rId5" Type="http://schemas.openxmlformats.org/officeDocument/2006/relationships/ctrlProp" Target="../ctrlProps/ctrlProp65.xml"/><Relationship Id="rId10" Type="http://schemas.openxmlformats.org/officeDocument/2006/relationships/ctrlProp" Target="../ctrlProps/ctrlProp70.xml"/><Relationship Id="rId4" Type="http://schemas.openxmlformats.org/officeDocument/2006/relationships/ctrlProp" Target="../ctrlProps/ctrlProp64.xml"/><Relationship Id="rId9" Type="http://schemas.openxmlformats.org/officeDocument/2006/relationships/ctrlProp" Target="../ctrlProps/ctrlProp6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76.xml"/><Relationship Id="rId13" Type="http://schemas.openxmlformats.org/officeDocument/2006/relationships/ctrlProp" Target="../ctrlProps/ctrlProp81.xml"/><Relationship Id="rId18" Type="http://schemas.openxmlformats.org/officeDocument/2006/relationships/ctrlProp" Target="../ctrlProps/ctrlProp86.xml"/><Relationship Id="rId3" Type="http://schemas.openxmlformats.org/officeDocument/2006/relationships/vmlDrawing" Target="../drawings/vmlDrawing8.vml"/><Relationship Id="rId7" Type="http://schemas.openxmlformats.org/officeDocument/2006/relationships/ctrlProp" Target="../ctrlProps/ctrlProp75.xml"/><Relationship Id="rId12" Type="http://schemas.openxmlformats.org/officeDocument/2006/relationships/ctrlProp" Target="../ctrlProps/ctrlProp80.xml"/><Relationship Id="rId17" Type="http://schemas.openxmlformats.org/officeDocument/2006/relationships/ctrlProp" Target="../ctrlProps/ctrlProp85.xml"/><Relationship Id="rId2" Type="http://schemas.openxmlformats.org/officeDocument/2006/relationships/drawing" Target="../drawings/drawing10.xml"/><Relationship Id="rId16" Type="http://schemas.openxmlformats.org/officeDocument/2006/relationships/ctrlProp" Target="../ctrlProps/ctrlProp84.xml"/><Relationship Id="rId1" Type="http://schemas.openxmlformats.org/officeDocument/2006/relationships/printerSettings" Target="../printerSettings/printerSettings4.bin"/><Relationship Id="rId6" Type="http://schemas.openxmlformats.org/officeDocument/2006/relationships/ctrlProp" Target="../ctrlProps/ctrlProp74.xml"/><Relationship Id="rId11" Type="http://schemas.openxmlformats.org/officeDocument/2006/relationships/ctrlProp" Target="../ctrlProps/ctrlProp79.xml"/><Relationship Id="rId5" Type="http://schemas.openxmlformats.org/officeDocument/2006/relationships/ctrlProp" Target="../ctrlProps/ctrlProp73.xml"/><Relationship Id="rId15" Type="http://schemas.openxmlformats.org/officeDocument/2006/relationships/ctrlProp" Target="../ctrlProps/ctrlProp83.xml"/><Relationship Id="rId10" Type="http://schemas.openxmlformats.org/officeDocument/2006/relationships/ctrlProp" Target="../ctrlProps/ctrlProp78.xml"/><Relationship Id="rId4" Type="http://schemas.openxmlformats.org/officeDocument/2006/relationships/ctrlProp" Target="../ctrlProps/ctrlProp72.xml"/><Relationship Id="rId9" Type="http://schemas.openxmlformats.org/officeDocument/2006/relationships/ctrlProp" Target="../ctrlProps/ctrlProp77.xml"/><Relationship Id="rId14" Type="http://schemas.openxmlformats.org/officeDocument/2006/relationships/ctrlProp" Target="../ctrlProps/ctrlProp8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92.xml"/><Relationship Id="rId3" Type="http://schemas.openxmlformats.org/officeDocument/2006/relationships/ctrlProp" Target="../ctrlProps/ctrlProp87.xml"/><Relationship Id="rId7" Type="http://schemas.openxmlformats.org/officeDocument/2006/relationships/ctrlProp" Target="../ctrlProps/ctrlProp91.xml"/><Relationship Id="rId2" Type="http://schemas.openxmlformats.org/officeDocument/2006/relationships/vmlDrawing" Target="../drawings/vmlDrawing9.vml"/><Relationship Id="rId1" Type="http://schemas.openxmlformats.org/officeDocument/2006/relationships/drawing" Target="../drawings/drawing11.xml"/><Relationship Id="rId6" Type="http://schemas.openxmlformats.org/officeDocument/2006/relationships/ctrlProp" Target="../ctrlProps/ctrlProp90.xml"/><Relationship Id="rId11" Type="http://schemas.openxmlformats.org/officeDocument/2006/relationships/ctrlProp" Target="../ctrlProps/ctrlProp95.xml"/><Relationship Id="rId5" Type="http://schemas.openxmlformats.org/officeDocument/2006/relationships/ctrlProp" Target="../ctrlProps/ctrlProp89.xml"/><Relationship Id="rId10" Type="http://schemas.openxmlformats.org/officeDocument/2006/relationships/ctrlProp" Target="../ctrlProps/ctrlProp94.xml"/><Relationship Id="rId4" Type="http://schemas.openxmlformats.org/officeDocument/2006/relationships/ctrlProp" Target="../ctrlProps/ctrlProp88.xml"/><Relationship Id="rId9" Type="http://schemas.openxmlformats.org/officeDocument/2006/relationships/ctrlProp" Target="../ctrlProps/ctrlProp93.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01.xml"/><Relationship Id="rId3" Type="http://schemas.openxmlformats.org/officeDocument/2006/relationships/ctrlProp" Target="../ctrlProps/ctrlProp96.xml"/><Relationship Id="rId7" Type="http://schemas.openxmlformats.org/officeDocument/2006/relationships/ctrlProp" Target="../ctrlProps/ctrlProp100.xml"/><Relationship Id="rId2" Type="http://schemas.openxmlformats.org/officeDocument/2006/relationships/vmlDrawing" Target="../drawings/vmlDrawing10.vml"/><Relationship Id="rId1" Type="http://schemas.openxmlformats.org/officeDocument/2006/relationships/drawing" Target="../drawings/drawing12.xml"/><Relationship Id="rId6" Type="http://schemas.openxmlformats.org/officeDocument/2006/relationships/ctrlProp" Target="../ctrlProps/ctrlProp99.xml"/><Relationship Id="rId11" Type="http://schemas.openxmlformats.org/officeDocument/2006/relationships/ctrlProp" Target="../ctrlProps/ctrlProp104.xml"/><Relationship Id="rId5" Type="http://schemas.openxmlformats.org/officeDocument/2006/relationships/ctrlProp" Target="../ctrlProps/ctrlProp98.xml"/><Relationship Id="rId10" Type="http://schemas.openxmlformats.org/officeDocument/2006/relationships/ctrlProp" Target="../ctrlProps/ctrlProp103.xml"/><Relationship Id="rId4" Type="http://schemas.openxmlformats.org/officeDocument/2006/relationships/ctrlProp" Target="../ctrlProps/ctrlProp97.xml"/><Relationship Id="rId9" Type="http://schemas.openxmlformats.org/officeDocument/2006/relationships/ctrlProp" Target="../ctrlProps/ctrlProp102.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10.xml"/><Relationship Id="rId3" Type="http://schemas.openxmlformats.org/officeDocument/2006/relationships/ctrlProp" Target="../ctrlProps/ctrlProp105.xml"/><Relationship Id="rId7" Type="http://schemas.openxmlformats.org/officeDocument/2006/relationships/ctrlProp" Target="../ctrlProps/ctrlProp109.xml"/><Relationship Id="rId2" Type="http://schemas.openxmlformats.org/officeDocument/2006/relationships/vmlDrawing" Target="../drawings/vmlDrawing11.vml"/><Relationship Id="rId1" Type="http://schemas.openxmlformats.org/officeDocument/2006/relationships/drawing" Target="../drawings/drawing13.xml"/><Relationship Id="rId6" Type="http://schemas.openxmlformats.org/officeDocument/2006/relationships/ctrlProp" Target="../ctrlProps/ctrlProp108.xml"/><Relationship Id="rId11" Type="http://schemas.openxmlformats.org/officeDocument/2006/relationships/ctrlProp" Target="../ctrlProps/ctrlProp113.xml"/><Relationship Id="rId5" Type="http://schemas.openxmlformats.org/officeDocument/2006/relationships/ctrlProp" Target="../ctrlProps/ctrlProp107.xml"/><Relationship Id="rId10" Type="http://schemas.openxmlformats.org/officeDocument/2006/relationships/ctrlProp" Target="../ctrlProps/ctrlProp112.xml"/><Relationship Id="rId4" Type="http://schemas.openxmlformats.org/officeDocument/2006/relationships/ctrlProp" Target="../ctrlProps/ctrlProp106.xml"/><Relationship Id="rId9" Type="http://schemas.openxmlformats.org/officeDocument/2006/relationships/ctrlProp" Target="../ctrlProps/ctrlProp111.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19.xml"/><Relationship Id="rId3" Type="http://schemas.openxmlformats.org/officeDocument/2006/relationships/ctrlProp" Target="../ctrlProps/ctrlProp114.xml"/><Relationship Id="rId7" Type="http://schemas.openxmlformats.org/officeDocument/2006/relationships/ctrlProp" Target="../ctrlProps/ctrlProp118.xml"/><Relationship Id="rId2" Type="http://schemas.openxmlformats.org/officeDocument/2006/relationships/vmlDrawing" Target="../drawings/vmlDrawing12.vml"/><Relationship Id="rId1" Type="http://schemas.openxmlformats.org/officeDocument/2006/relationships/drawing" Target="../drawings/drawing14.xml"/><Relationship Id="rId6" Type="http://schemas.openxmlformats.org/officeDocument/2006/relationships/ctrlProp" Target="../ctrlProps/ctrlProp117.xml"/><Relationship Id="rId11" Type="http://schemas.openxmlformats.org/officeDocument/2006/relationships/ctrlProp" Target="../ctrlProps/ctrlProp122.xml"/><Relationship Id="rId5" Type="http://schemas.openxmlformats.org/officeDocument/2006/relationships/ctrlProp" Target="../ctrlProps/ctrlProp116.xml"/><Relationship Id="rId10" Type="http://schemas.openxmlformats.org/officeDocument/2006/relationships/ctrlProp" Target="../ctrlProps/ctrlProp121.xml"/><Relationship Id="rId4" Type="http://schemas.openxmlformats.org/officeDocument/2006/relationships/ctrlProp" Target="../ctrlProps/ctrlProp115.xml"/><Relationship Id="rId9" Type="http://schemas.openxmlformats.org/officeDocument/2006/relationships/ctrlProp" Target="../ctrlProps/ctrlProp120.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28.xml"/><Relationship Id="rId3" Type="http://schemas.openxmlformats.org/officeDocument/2006/relationships/ctrlProp" Target="../ctrlProps/ctrlProp123.xml"/><Relationship Id="rId7" Type="http://schemas.openxmlformats.org/officeDocument/2006/relationships/ctrlProp" Target="../ctrlProps/ctrlProp127.xml"/><Relationship Id="rId2" Type="http://schemas.openxmlformats.org/officeDocument/2006/relationships/vmlDrawing" Target="../drawings/vmlDrawing13.vml"/><Relationship Id="rId1" Type="http://schemas.openxmlformats.org/officeDocument/2006/relationships/drawing" Target="../drawings/drawing15.xml"/><Relationship Id="rId6" Type="http://schemas.openxmlformats.org/officeDocument/2006/relationships/ctrlProp" Target="../ctrlProps/ctrlProp126.xml"/><Relationship Id="rId11" Type="http://schemas.openxmlformats.org/officeDocument/2006/relationships/ctrlProp" Target="../ctrlProps/ctrlProp131.xml"/><Relationship Id="rId5" Type="http://schemas.openxmlformats.org/officeDocument/2006/relationships/ctrlProp" Target="../ctrlProps/ctrlProp125.xml"/><Relationship Id="rId10" Type="http://schemas.openxmlformats.org/officeDocument/2006/relationships/ctrlProp" Target="../ctrlProps/ctrlProp130.xml"/><Relationship Id="rId4" Type="http://schemas.openxmlformats.org/officeDocument/2006/relationships/ctrlProp" Target="../ctrlProps/ctrlProp124.xml"/><Relationship Id="rId9" Type="http://schemas.openxmlformats.org/officeDocument/2006/relationships/ctrlProp" Target="../ctrlProps/ctrlProp129.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37.xml"/><Relationship Id="rId3" Type="http://schemas.openxmlformats.org/officeDocument/2006/relationships/ctrlProp" Target="../ctrlProps/ctrlProp132.xml"/><Relationship Id="rId7" Type="http://schemas.openxmlformats.org/officeDocument/2006/relationships/ctrlProp" Target="../ctrlProps/ctrlProp136.xml"/><Relationship Id="rId2" Type="http://schemas.openxmlformats.org/officeDocument/2006/relationships/vmlDrawing" Target="../drawings/vmlDrawing14.vml"/><Relationship Id="rId1" Type="http://schemas.openxmlformats.org/officeDocument/2006/relationships/drawing" Target="../drawings/drawing16.xml"/><Relationship Id="rId6" Type="http://schemas.openxmlformats.org/officeDocument/2006/relationships/ctrlProp" Target="../ctrlProps/ctrlProp135.xml"/><Relationship Id="rId11" Type="http://schemas.openxmlformats.org/officeDocument/2006/relationships/ctrlProp" Target="../ctrlProps/ctrlProp140.xml"/><Relationship Id="rId5" Type="http://schemas.openxmlformats.org/officeDocument/2006/relationships/ctrlProp" Target="../ctrlProps/ctrlProp134.xml"/><Relationship Id="rId10" Type="http://schemas.openxmlformats.org/officeDocument/2006/relationships/ctrlProp" Target="../ctrlProps/ctrlProp139.xml"/><Relationship Id="rId4" Type="http://schemas.openxmlformats.org/officeDocument/2006/relationships/ctrlProp" Target="../ctrlProps/ctrlProp133.xml"/><Relationship Id="rId9" Type="http://schemas.openxmlformats.org/officeDocument/2006/relationships/ctrlProp" Target="../ctrlProps/ctrlProp138.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46.xml"/><Relationship Id="rId3" Type="http://schemas.openxmlformats.org/officeDocument/2006/relationships/ctrlProp" Target="../ctrlProps/ctrlProp141.xml"/><Relationship Id="rId7" Type="http://schemas.openxmlformats.org/officeDocument/2006/relationships/ctrlProp" Target="../ctrlProps/ctrlProp145.xml"/><Relationship Id="rId2" Type="http://schemas.openxmlformats.org/officeDocument/2006/relationships/vmlDrawing" Target="../drawings/vmlDrawing15.vml"/><Relationship Id="rId1" Type="http://schemas.openxmlformats.org/officeDocument/2006/relationships/drawing" Target="../drawings/drawing17.xml"/><Relationship Id="rId6" Type="http://schemas.openxmlformats.org/officeDocument/2006/relationships/ctrlProp" Target="../ctrlProps/ctrlProp144.xml"/><Relationship Id="rId11" Type="http://schemas.openxmlformats.org/officeDocument/2006/relationships/ctrlProp" Target="../ctrlProps/ctrlProp149.xml"/><Relationship Id="rId5" Type="http://schemas.openxmlformats.org/officeDocument/2006/relationships/ctrlProp" Target="../ctrlProps/ctrlProp143.xml"/><Relationship Id="rId10" Type="http://schemas.openxmlformats.org/officeDocument/2006/relationships/ctrlProp" Target="../ctrlProps/ctrlProp148.xml"/><Relationship Id="rId4" Type="http://schemas.openxmlformats.org/officeDocument/2006/relationships/ctrlProp" Target="../ctrlProps/ctrlProp142.xml"/><Relationship Id="rId9" Type="http://schemas.openxmlformats.org/officeDocument/2006/relationships/ctrlProp" Target="../ctrlProps/ctrlProp147.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55.xml"/><Relationship Id="rId3" Type="http://schemas.openxmlformats.org/officeDocument/2006/relationships/ctrlProp" Target="../ctrlProps/ctrlProp150.xml"/><Relationship Id="rId7" Type="http://schemas.openxmlformats.org/officeDocument/2006/relationships/ctrlProp" Target="../ctrlProps/ctrlProp154.xml"/><Relationship Id="rId2" Type="http://schemas.openxmlformats.org/officeDocument/2006/relationships/vmlDrawing" Target="../drawings/vmlDrawing16.vml"/><Relationship Id="rId1" Type="http://schemas.openxmlformats.org/officeDocument/2006/relationships/drawing" Target="../drawings/drawing18.xml"/><Relationship Id="rId6" Type="http://schemas.openxmlformats.org/officeDocument/2006/relationships/ctrlProp" Target="../ctrlProps/ctrlProp153.xml"/><Relationship Id="rId11" Type="http://schemas.openxmlformats.org/officeDocument/2006/relationships/ctrlProp" Target="../ctrlProps/ctrlProp158.xml"/><Relationship Id="rId5" Type="http://schemas.openxmlformats.org/officeDocument/2006/relationships/ctrlProp" Target="../ctrlProps/ctrlProp152.xml"/><Relationship Id="rId10" Type="http://schemas.openxmlformats.org/officeDocument/2006/relationships/ctrlProp" Target="../ctrlProps/ctrlProp157.xml"/><Relationship Id="rId4" Type="http://schemas.openxmlformats.org/officeDocument/2006/relationships/ctrlProp" Target="../ctrlProps/ctrlProp151.xml"/><Relationship Id="rId9" Type="http://schemas.openxmlformats.org/officeDocument/2006/relationships/ctrlProp" Target="../ctrlProps/ctrlProp156.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64.xml"/><Relationship Id="rId3" Type="http://schemas.openxmlformats.org/officeDocument/2006/relationships/ctrlProp" Target="../ctrlProps/ctrlProp159.xml"/><Relationship Id="rId7" Type="http://schemas.openxmlformats.org/officeDocument/2006/relationships/ctrlProp" Target="../ctrlProps/ctrlProp163.xml"/><Relationship Id="rId2" Type="http://schemas.openxmlformats.org/officeDocument/2006/relationships/vmlDrawing" Target="../drawings/vmlDrawing17.vml"/><Relationship Id="rId1" Type="http://schemas.openxmlformats.org/officeDocument/2006/relationships/drawing" Target="../drawings/drawing19.xml"/><Relationship Id="rId6" Type="http://schemas.openxmlformats.org/officeDocument/2006/relationships/ctrlProp" Target="../ctrlProps/ctrlProp162.xml"/><Relationship Id="rId11" Type="http://schemas.openxmlformats.org/officeDocument/2006/relationships/ctrlProp" Target="../ctrlProps/ctrlProp167.xml"/><Relationship Id="rId5" Type="http://schemas.openxmlformats.org/officeDocument/2006/relationships/ctrlProp" Target="../ctrlProps/ctrlProp161.xml"/><Relationship Id="rId10" Type="http://schemas.openxmlformats.org/officeDocument/2006/relationships/ctrlProp" Target="../ctrlProps/ctrlProp166.xml"/><Relationship Id="rId4" Type="http://schemas.openxmlformats.org/officeDocument/2006/relationships/ctrlProp" Target="../ctrlProps/ctrlProp160.xml"/><Relationship Id="rId9" Type="http://schemas.openxmlformats.org/officeDocument/2006/relationships/ctrlProp" Target="../ctrlProps/ctrlProp165.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73.xml"/><Relationship Id="rId3" Type="http://schemas.openxmlformats.org/officeDocument/2006/relationships/ctrlProp" Target="../ctrlProps/ctrlProp168.xml"/><Relationship Id="rId7" Type="http://schemas.openxmlformats.org/officeDocument/2006/relationships/ctrlProp" Target="../ctrlProps/ctrlProp172.xml"/><Relationship Id="rId2" Type="http://schemas.openxmlformats.org/officeDocument/2006/relationships/vmlDrawing" Target="../drawings/vmlDrawing18.vml"/><Relationship Id="rId1" Type="http://schemas.openxmlformats.org/officeDocument/2006/relationships/drawing" Target="../drawings/drawing20.xml"/><Relationship Id="rId6" Type="http://schemas.openxmlformats.org/officeDocument/2006/relationships/ctrlProp" Target="../ctrlProps/ctrlProp171.xml"/><Relationship Id="rId11" Type="http://schemas.openxmlformats.org/officeDocument/2006/relationships/ctrlProp" Target="../ctrlProps/ctrlProp176.xml"/><Relationship Id="rId5" Type="http://schemas.openxmlformats.org/officeDocument/2006/relationships/ctrlProp" Target="../ctrlProps/ctrlProp170.xml"/><Relationship Id="rId10" Type="http://schemas.openxmlformats.org/officeDocument/2006/relationships/ctrlProp" Target="../ctrlProps/ctrlProp175.xml"/><Relationship Id="rId4" Type="http://schemas.openxmlformats.org/officeDocument/2006/relationships/ctrlProp" Target="../ctrlProps/ctrlProp169.xml"/><Relationship Id="rId9" Type="http://schemas.openxmlformats.org/officeDocument/2006/relationships/ctrlProp" Target="../ctrlProps/ctrlProp174.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81.xml"/><Relationship Id="rId3" Type="http://schemas.openxmlformats.org/officeDocument/2006/relationships/vmlDrawing" Target="../drawings/vmlDrawing19.vml"/><Relationship Id="rId7" Type="http://schemas.openxmlformats.org/officeDocument/2006/relationships/ctrlProp" Target="../ctrlProps/ctrlProp180.xml"/><Relationship Id="rId12" Type="http://schemas.openxmlformats.org/officeDocument/2006/relationships/ctrlProp" Target="../ctrlProps/ctrlProp185.xml"/><Relationship Id="rId2" Type="http://schemas.openxmlformats.org/officeDocument/2006/relationships/drawing" Target="../drawings/drawing21.xml"/><Relationship Id="rId1" Type="http://schemas.openxmlformats.org/officeDocument/2006/relationships/printerSettings" Target="../printerSettings/printerSettings5.bin"/><Relationship Id="rId6" Type="http://schemas.openxmlformats.org/officeDocument/2006/relationships/ctrlProp" Target="../ctrlProps/ctrlProp179.xml"/><Relationship Id="rId11" Type="http://schemas.openxmlformats.org/officeDocument/2006/relationships/ctrlProp" Target="../ctrlProps/ctrlProp184.xml"/><Relationship Id="rId5" Type="http://schemas.openxmlformats.org/officeDocument/2006/relationships/ctrlProp" Target="../ctrlProps/ctrlProp178.xml"/><Relationship Id="rId10" Type="http://schemas.openxmlformats.org/officeDocument/2006/relationships/ctrlProp" Target="../ctrlProps/ctrlProp183.xml"/><Relationship Id="rId4" Type="http://schemas.openxmlformats.org/officeDocument/2006/relationships/ctrlProp" Target="../ctrlProps/ctrlProp177.xml"/><Relationship Id="rId9" Type="http://schemas.openxmlformats.org/officeDocument/2006/relationships/ctrlProp" Target="../ctrlProps/ctrlProp182.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91.xml"/><Relationship Id="rId3" Type="http://schemas.openxmlformats.org/officeDocument/2006/relationships/ctrlProp" Target="../ctrlProps/ctrlProp186.xml"/><Relationship Id="rId7" Type="http://schemas.openxmlformats.org/officeDocument/2006/relationships/ctrlProp" Target="../ctrlProps/ctrlProp190.xml"/><Relationship Id="rId2" Type="http://schemas.openxmlformats.org/officeDocument/2006/relationships/vmlDrawing" Target="../drawings/vmlDrawing20.vml"/><Relationship Id="rId1" Type="http://schemas.openxmlformats.org/officeDocument/2006/relationships/drawing" Target="../drawings/drawing22.xml"/><Relationship Id="rId6" Type="http://schemas.openxmlformats.org/officeDocument/2006/relationships/ctrlProp" Target="../ctrlProps/ctrlProp189.xml"/><Relationship Id="rId11" Type="http://schemas.openxmlformats.org/officeDocument/2006/relationships/ctrlProp" Target="../ctrlProps/ctrlProp194.xml"/><Relationship Id="rId5" Type="http://schemas.openxmlformats.org/officeDocument/2006/relationships/ctrlProp" Target="../ctrlProps/ctrlProp188.xml"/><Relationship Id="rId10" Type="http://schemas.openxmlformats.org/officeDocument/2006/relationships/ctrlProp" Target="../ctrlProps/ctrlProp193.xml"/><Relationship Id="rId4" Type="http://schemas.openxmlformats.org/officeDocument/2006/relationships/ctrlProp" Target="../ctrlProps/ctrlProp187.xml"/><Relationship Id="rId9" Type="http://schemas.openxmlformats.org/officeDocument/2006/relationships/ctrlProp" Target="../ctrlProps/ctrlProp192.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200.xml"/><Relationship Id="rId3" Type="http://schemas.openxmlformats.org/officeDocument/2006/relationships/ctrlProp" Target="../ctrlProps/ctrlProp195.xml"/><Relationship Id="rId7" Type="http://schemas.openxmlformats.org/officeDocument/2006/relationships/ctrlProp" Target="../ctrlProps/ctrlProp199.xml"/><Relationship Id="rId2" Type="http://schemas.openxmlformats.org/officeDocument/2006/relationships/vmlDrawing" Target="../drawings/vmlDrawing21.vml"/><Relationship Id="rId1" Type="http://schemas.openxmlformats.org/officeDocument/2006/relationships/drawing" Target="../drawings/drawing23.xml"/><Relationship Id="rId6" Type="http://schemas.openxmlformats.org/officeDocument/2006/relationships/ctrlProp" Target="../ctrlProps/ctrlProp198.xml"/><Relationship Id="rId11" Type="http://schemas.openxmlformats.org/officeDocument/2006/relationships/ctrlProp" Target="../ctrlProps/ctrlProp203.xml"/><Relationship Id="rId5" Type="http://schemas.openxmlformats.org/officeDocument/2006/relationships/ctrlProp" Target="../ctrlProps/ctrlProp197.xml"/><Relationship Id="rId10" Type="http://schemas.openxmlformats.org/officeDocument/2006/relationships/ctrlProp" Target="../ctrlProps/ctrlProp202.xml"/><Relationship Id="rId4" Type="http://schemas.openxmlformats.org/officeDocument/2006/relationships/ctrlProp" Target="../ctrlProps/ctrlProp196.xml"/><Relationship Id="rId9" Type="http://schemas.openxmlformats.org/officeDocument/2006/relationships/ctrlProp" Target="../ctrlProps/ctrlProp201.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209.xml"/><Relationship Id="rId3" Type="http://schemas.openxmlformats.org/officeDocument/2006/relationships/ctrlProp" Target="../ctrlProps/ctrlProp204.xml"/><Relationship Id="rId7" Type="http://schemas.openxmlformats.org/officeDocument/2006/relationships/ctrlProp" Target="../ctrlProps/ctrlProp208.xml"/><Relationship Id="rId2" Type="http://schemas.openxmlformats.org/officeDocument/2006/relationships/vmlDrawing" Target="../drawings/vmlDrawing22.vml"/><Relationship Id="rId1" Type="http://schemas.openxmlformats.org/officeDocument/2006/relationships/drawing" Target="../drawings/drawing24.xml"/><Relationship Id="rId6" Type="http://schemas.openxmlformats.org/officeDocument/2006/relationships/ctrlProp" Target="../ctrlProps/ctrlProp207.xml"/><Relationship Id="rId11" Type="http://schemas.openxmlformats.org/officeDocument/2006/relationships/ctrlProp" Target="../ctrlProps/ctrlProp212.xml"/><Relationship Id="rId5" Type="http://schemas.openxmlformats.org/officeDocument/2006/relationships/ctrlProp" Target="../ctrlProps/ctrlProp206.xml"/><Relationship Id="rId10" Type="http://schemas.openxmlformats.org/officeDocument/2006/relationships/ctrlProp" Target="../ctrlProps/ctrlProp211.xml"/><Relationship Id="rId4" Type="http://schemas.openxmlformats.org/officeDocument/2006/relationships/ctrlProp" Target="../ctrlProps/ctrlProp205.xml"/><Relationship Id="rId9" Type="http://schemas.openxmlformats.org/officeDocument/2006/relationships/ctrlProp" Target="../ctrlProps/ctrlProp210.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218.xml"/><Relationship Id="rId13" Type="http://schemas.openxmlformats.org/officeDocument/2006/relationships/ctrlProp" Target="../ctrlProps/ctrlProp223.xml"/><Relationship Id="rId3" Type="http://schemas.openxmlformats.org/officeDocument/2006/relationships/ctrlProp" Target="../ctrlProps/ctrlProp213.xml"/><Relationship Id="rId7" Type="http://schemas.openxmlformats.org/officeDocument/2006/relationships/ctrlProp" Target="../ctrlProps/ctrlProp217.xml"/><Relationship Id="rId12" Type="http://schemas.openxmlformats.org/officeDocument/2006/relationships/ctrlProp" Target="../ctrlProps/ctrlProp222.xml"/><Relationship Id="rId2" Type="http://schemas.openxmlformats.org/officeDocument/2006/relationships/vmlDrawing" Target="../drawings/vmlDrawing23.vml"/><Relationship Id="rId1" Type="http://schemas.openxmlformats.org/officeDocument/2006/relationships/drawing" Target="../drawings/drawing25.xml"/><Relationship Id="rId6" Type="http://schemas.openxmlformats.org/officeDocument/2006/relationships/ctrlProp" Target="../ctrlProps/ctrlProp216.xml"/><Relationship Id="rId11" Type="http://schemas.openxmlformats.org/officeDocument/2006/relationships/ctrlProp" Target="../ctrlProps/ctrlProp221.xml"/><Relationship Id="rId5" Type="http://schemas.openxmlformats.org/officeDocument/2006/relationships/ctrlProp" Target="../ctrlProps/ctrlProp215.xml"/><Relationship Id="rId10" Type="http://schemas.openxmlformats.org/officeDocument/2006/relationships/ctrlProp" Target="../ctrlProps/ctrlProp220.xml"/><Relationship Id="rId4" Type="http://schemas.openxmlformats.org/officeDocument/2006/relationships/ctrlProp" Target="../ctrlProps/ctrlProp214.xml"/><Relationship Id="rId9" Type="http://schemas.openxmlformats.org/officeDocument/2006/relationships/ctrlProp" Target="../ctrlProps/ctrlProp219.xml"/><Relationship Id="rId14" Type="http://schemas.openxmlformats.org/officeDocument/2006/relationships/ctrlProp" Target="../ctrlProps/ctrlProp224.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230.xml"/><Relationship Id="rId3" Type="http://schemas.openxmlformats.org/officeDocument/2006/relationships/ctrlProp" Target="../ctrlProps/ctrlProp225.xml"/><Relationship Id="rId7" Type="http://schemas.openxmlformats.org/officeDocument/2006/relationships/ctrlProp" Target="../ctrlProps/ctrlProp229.xml"/><Relationship Id="rId2" Type="http://schemas.openxmlformats.org/officeDocument/2006/relationships/vmlDrawing" Target="../drawings/vmlDrawing24.vml"/><Relationship Id="rId1" Type="http://schemas.openxmlformats.org/officeDocument/2006/relationships/drawing" Target="../drawings/drawing26.xml"/><Relationship Id="rId6" Type="http://schemas.openxmlformats.org/officeDocument/2006/relationships/ctrlProp" Target="../ctrlProps/ctrlProp228.xml"/><Relationship Id="rId11" Type="http://schemas.openxmlformats.org/officeDocument/2006/relationships/ctrlProp" Target="../ctrlProps/ctrlProp233.xml"/><Relationship Id="rId5" Type="http://schemas.openxmlformats.org/officeDocument/2006/relationships/ctrlProp" Target="../ctrlProps/ctrlProp227.xml"/><Relationship Id="rId10" Type="http://schemas.openxmlformats.org/officeDocument/2006/relationships/ctrlProp" Target="../ctrlProps/ctrlProp232.xml"/><Relationship Id="rId4" Type="http://schemas.openxmlformats.org/officeDocument/2006/relationships/ctrlProp" Target="../ctrlProps/ctrlProp226.xml"/><Relationship Id="rId9" Type="http://schemas.openxmlformats.org/officeDocument/2006/relationships/ctrlProp" Target="../ctrlProps/ctrlProp231.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239.xml"/><Relationship Id="rId3" Type="http://schemas.openxmlformats.org/officeDocument/2006/relationships/ctrlProp" Target="../ctrlProps/ctrlProp234.xml"/><Relationship Id="rId7" Type="http://schemas.openxmlformats.org/officeDocument/2006/relationships/ctrlProp" Target="../ctrlProps/ctrlProp238.xml"/><Relationship Id="rId2" Type="http://schemas.openxmlformats.org/officeDocument/2006/relationships/vmlDrawing" Target="../drawings/vmlDrawing25.vml"/><Relationship Id="rId1" Type="http://schemas.openxmlformats.org/officeDocument/2006/relationships/drawing" Target="../drawings/drawing27.xml"/><Relationship Id="rId6" Type="http://schemas.openxmlformats.org/officeDocument/2006/relationships/ctrlProp" Target="../ctrlProps/ctrlProp237.xml"/><Relationship Id="rId11" Type="http://schemas.openxmlformats.org/officeDocument/2006/relationships/ctrlProp" Target="../ctrlProps/ctrlProp242.xml"/><Relationship Id="rId5" Type="http://schemas.openxmlformats.org/officeDocument/2006/relationships/ctrlProp" Target="../ctrlProps/ctrlProp236.xml"/><Relationship Id="rId10" Type="http://schemas.openxmlformats.org/officeDocument/2006/relationships/ctrlProp" Target="../ctrlProps/ctrlProp241.xml"/><Relationship Id="rId4" Type="http://schemas.openxmlformats.org/officeDocument/2006/relationships/ctrlProp" Target="../ctrlProps/ctrlProp235.xml"/><Relationship Id="rId9" Type="http://schemas.openxmlformats.org/officeDocument/2006/relationships/ctrlProp" Target="../ctrlProps/ctrlProp240.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248.xml"/><Relationship Id="rId3" Type="http://schemas.openxmlformats.org/officeDocument/2006/relationships/ctrlProp" Target="../ctrlProps/ctrlProp243.xml"/><Relationship Id="rId7" Type="http://schemas.openxmlformats.org/officeDocument/2006/relationships/ctrlProp" Target="../ctrlProps/ctrlProp247.xml"/><Relationship Id="rId2" Type="http://schemas.openxmlformats.org/officeDocument/2006/relationships/vmlDrawing" Target="../drawings/vmlDrawing26.vml"/><Relationship Id="rId1" Type="http://schemas.openxmlformats.org/officeDocument/2006/relationships/drawing" Target="../drawings/drawing28.xml"/><Relationship Id="rId6" Type="http://schemas.openxmlformats.org/officeDocument/2006/relationships/ctrlProp" Target="../ctrlProps/ctrlProp246.xml"/><Relationship Id="rId11" Type="http://schemas.openxmlformats.org/officeDocument/2006/relationships/ctrlProp" Target="../ctrlProps/ctrlProp251.xml"/><Relationship Id="rId5" Type="http://schemas.openxmlformats.org/officeDocument/2006/relationships/ctrlProp" Target="../ctrlProps/ctrlProp245.xml"/><Relationship Id="rId10" Type="http://schemas.openxmlformats.org/officeDocument/2006/relationships/ctrlProp" Target="../ctrlProps/ctrlProp250.xml"/><Relationship Id="rId4" Type="http://schemas.openxmlformats.org/officeDocument/2006/relationships/ctrlProp" Target="../ctrlProps/ctrlProp244.xml"/><Relationship Id="rId9" Type="http://schemas.openxmlformats.org/officeDocument/2006/relationships/ctrlProp" Target="../ctrlProps/ctrlProp249.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257.xml"/><Relationship Id="rId13" Type="http://schemas.openxmlformats.org/officeDocument/2006/relationships/ctrlProp" Target="../ctrlProps/ctrlProp262.xml"/><Relationship Id="rId3" Type="http://schemas.openxmlformats.org/officeDocument/2006/relationships/ctrlProp" Target="../ctrlProps/ctrlProp252.xml"/><Relationship Id="rId7" Type="http://schemas.openxmlformats.org/officeDocument/2006/relationships/ctrlProp" Target="../ctrlProps/ctrlProp256.xml"/><Relationship Id="rId12" Type="http://schemas.openxmlformats.org/officeDocument/2006/relationships/ctrlProp" Target="../ctrlProps/ctrlProp261.xml"/><Relationship Id="rId2" Type="http://schemas.openxmlformats.org/officeDocument/2006/relationships/vmlDrawing" Target="../drawings/vmlDrawing27.vml"/><Relationship Id="rId1" Type="http://schemas.openxmlformats.org/officeDocument/2006/relationships/drawing" Target="../drawings/drawing29.xml"/><Relationship Id="rId6" Type="http://schemas.openxmlformats.org/officeDocument/2006/relationships/ctrlProp" Target="../ctrlProps/ctrlProp255.xml"/><Relationship Id="rId11" Type="http://schemas.openxmlformats.org/officeDocument/2006/relationships/ctrlProp" Target="../ctrlProps/ctrlProp260.xml"/><Relationship Id="rId5" Type="http://schemas.openxmlformats.org/officeDocument/2006/relationships/ctrlProp" Target="../ctrlProps/ctrlProp254.xml"/><Relationship Id="rId10" Type="http://schemas.openxmlformats.org/officeDocument/2006/relationships/ctrlProp" Target="../ctrlProps/ctrlProp259.xml"/><Relationship Id="rId4" Type="http://schemas.openxmlformats.org/officeDocument/2006/relationships/ctrlProp" Target="../ctrlProps/ctrlProp253.xml"/><Relationship Id="rId9" Type="http://schemas.openxmlformats.org/officeDocument/2006/relationships/ctrlProp" Target="../ctrlProps/ctrlProp258.xml"/><Relationship Id="rId14" Type="http://schemas.openxmlformats.org/officeDocument/2006/relationships/ctrlProp" Target="../ctrlProps/ctrlProp263.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268.xml"/><Relationship Id="rId3" Type="http://schemas.openxmlformats.org/officeDocument/2006/relationships/vmlDrawing" Target="../drawings/vmlDrawing28.vml"/><Relationship Id="rId7" Type="http://schemas.openxmlformats.org/officeDocument/2006/relationships/ctrlProp" Target="../ctrlProps/ctrlProp267.xml"/><Relationship Id="rId12" Type="http://schemas.openxmlformats.org/officeDocument/2006/relationships/ctrlProp" Target="../ctrlProps/ctrlProp272.xml"/><Relationship Id="rId2" Type="http://schemas.openxmlformats.org/officeDocument/2006/relationships/drawing" Target="../drawings/drawing30.xml"/><Relationship Id="rId1" Type="http://schemas.openxmlformats.org/officeDocument/2006/relationships/printerSettings" Target="../printerSettings/printerSettings6.bin"/><Relationship Id="rId6" Type="http://schemas.openxmlformats.org/officeDocument/2006/relationships/ctrlProp" Target="../ctrlProps/ctrlProp266.xml"/><Relationship Id="rId11" Type="http://schemas.openxmlformats.org/officeDocument/2006/relationships/ctrlProp" Target="../ctrlProps/ctrlProp271.xml"/><Relationship Id="rId5" Type="http://schemas.openxmlformats.org/officeDocument/2006/relationships/ctrlProp" Target="../ctrlProps/ctrlProp265.xml"/><Relationship Id="rId10" Type="http://schemas.openxmlformats.org/officeDocument/2006/relationships/ctrlProp" Target="../ctrlProps/ctrlProp270.xml"/><Relationship Id="rId4" Type="http://schemas.openxmlformats.org/officeDocument/2006/relationships/ctrlProp" Target="../ctrlProps/ctrlProp264.xml"/><Relationship Id="rId9" Type="http://schemas.openxmlformats.org/officeDocument/2006/relationships/ctrlProp" Target="../ctrlProps/ctrlProp269.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278.xml"/><Relationship Id="rId3" Type="http://schemas.openxmlformats.org/officeDocument/2006/relationships/ctrlProp" Target="../ctrlProps/ctrlProp273.xml"/><Relationship Id="rId7" Type="http://schemas.openxmlformats.org/officeDocument/2006/relationships/ctrlProp" Target="../ctrlProps/ctrlProp277.xml"/><Relationship Id="rId2" Type="http://schemas.openxmlformats.org/officeDocument/2006/relationships/vmlDrawing" Target="../drawings/vmlDrawing29.vml"/><Relationship Id="rId1" Type="http://schemas.openxmlformats.org/officeDocument/2006/relationships/drawing" Target="../drawings/drawing31.xml"/><Relationship Id="rId6" Type="http://schemas.openxmlformats.org/officeDocument/2006/relationships/ctrlProp" Target="../ctrlProps/ctrlProp276.xml"/><Relationship Id="rId11" Type="http://schemas.openxmlformats.org/officeDocument/2006/relationships/ctrlProp" Target="../ctrlProps/ctrlProp281.xml"/><Relationship Id="rId5" Type="http://schemas.openxmlformats.org/officeDocument/2006/relationships/ctrlProp" Target="../ctrlProps/ctrlProp275.xml"/><Relationship Id="rId10" Type="http://schemas.openxmlformats.org/officeDocument/2006/relationships/ctrlProp" Target="../ctrlProps/ctrlProp280.xml"/><Relationship Id="rId4" Type="http://schemas.openxmlformats.org/officeDocument/2006/relationships/ctrlProp" Target="../ctrlProps/ctrlProp274.xml"/><Relationship Id="rId9" Type="http://schemas.openxmlformats.org/officeDocument/2006/relationships/ctrlProp" Target="../ctrlProps/ctrlProp279.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287.xml"/><Relationship Id="rId3" Type="http://schemas.openxmlformats.org/officeDocument/2006/relationships/ctrlProp" Target="../ctrlProps/ctrlProp282.xml"/><Relationship Id="rId7" Type="http://schemas.openxmlformats.org/officeDocument/2006/relationships/ctrlProp" Target="../ctrlProps/ctrlProp286.xml"/><Relationship Id="rId2" Type="http://schemas.openxmlformats.org/officeDocument/2006/relationships/vmlDrawing" Target="../drawings/vmlDrawing30.vml"/><Relationship Id="rId1" Type="http://schemas.openxmlformats.org/officeDocument/2006/relationships/drawing" Target="../drawings/drawing32.xml"/><Relationship Id="rId6" Type="http://schemas.openxmlformats.org/officeDocument/2006/relationships/ctrlProp" Target="../ctrlProps/ctrlProp285.xml"/><Relationship Id="rId11" Type="http://schemas.openxmlformats.org/officeDocument/2006/relationships/ctrlProp" Target="../ctrlProps/ctrlProp290.xml"/><Relationship Id="rId5" Type="http://schemas.openxmlformats.org/officeDocument/2006/relationships/ctrlProp" Target="../ctrlProps/ctrlProp284.xml"/><Relationship Id="rId10" Type="http://schemas.openxmlformats.org/officeDocument/2006/relationships/ctrlProp" Target="../ctrlProps/ctrlProp289.xml"/><Relationship Id="rId4" Type="http://schemas.openxmlformats.org/officeDocument/2006/relationships/ctrlProp" Target="../ctrlProps/ctrlProp283.xml"/><Relationship Id="rId9" Type="http://schemas.openxmlformats.org/officeDocument/2006/relationships/ctrlProp" Target="../ctrlProps/ctrlProp288.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296.xml"/><Relationship Id="rId3" Type="http://schemas.openxmlformats.org/officeDocument/2006/relationships/ctrlProp" Target="../ctrlProps/ctrlProp291.xml"/><Relationship Id="rId7" Type="http://schemas.openxmlformats.org/officeDocument/2006/relationships/ctrlProp" Target="../ctrlProps/ctrlProp295.xml"/><Relationship Id="rId2" Type="http://schemas.openxmlformats.org/officeDocument/2006/relationships/vmlDrawing" Target="../drawings/vmlDrawing31.vml"/><Relationship Id="rId1" Type="http://schemas.openxmlformats.org/officeDocument/2006/relationships/drawing" Target="../drawings/drawing33.xml"/><Relationship Id="rId6" Type="http://schemas.openxmlformats.org/officeDocument/2006/relationships/ctrlProp" Target="../ctrlProps/ctrlProp294.xml"/><Relationship Id="rId11" Type="http://schemas.openxmlformats.org/officeDocument/2006/relationships/ctrlProp" Target="../ctrlProps/ctrlProp299.xml"/><Relationship Id="rId5" Type="http://schemas.openxmlformats.org/officeDocument/2006/relationships/ctrlProp" Target="../ctrlProps/ctrlProp293.xml"/><Relationship Id="rId10" Type="http://schemas.openxmlformats.org/officeDocument/2006/relationships/ctrlProp" Target="../ctrlProps/ctrlProp298.xml"/><Relationship Id="rId4" Type="http://schemas.openxmlformats.org/officeDocument/2006/relationships/ctrlProp" Target="../ctrlProps/ctrlProp292.xml"/><Relationship Id="rId9" Type="http://schemas.openxmlformats.org/officeDocument/2006/relationships/ctrlProp" Target="../ctrlProps/ctrlProp297.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305.xml"/><Relationship Id="rId3" Type="http://schemas.openxmlformats.org/officeDocument/2006/relationships/ctrlProp" Target="../ctrlProps/ctrlProp300.xml"/><Relationship Id="rId7" Type="http://schemas.openxmlformats.org/officeDocument/2006/relationships/ctrlProp" Target="../ctrlProps/ctrlProp304.xml"/><Relationship Id="rId2" Type="http://schemas.openxmlformats.org/officeDocument/2006/relationships/vmlDrawing" Target="../drawings/vmlDrawing32.vml"/><Relationship Id="rId1" Type="http://schemas.openxmlformats.org/officeDocument/2006/relationships/drawing" Target="../drawings/drawing34.xml"/><Relationship Id="rId6" Type="http://schemas.openxmlformats.org/officeDocument/2006/relationships/ctrlProp" Target="../ctrlProps/ctrlProp303.xml"/><Relationship Id="rId11" Type="http://schemas.openxmlformats.org/officeDocument/2006/relationships/ctrlProp" Target="../ctrlProps/ctrlProp308.xml"/><Relationship Id="rId5" Type="http://schemas.openxmlformats.org/officeDocument/2006/relationships/ctrlProp" Target="../ctrlProps/ctrlProp302.xml"/><Relationship Id="rId10" Type="http://schemas.openxmlformats.org/officeDocument/2006/relationships/ctrlProp" Target="../ctrlProps/ctrlProp307.xml"/><Relationship Id="rId4" Type="http://schemas.openxmlformats.org/officeDocument/2006/relationships/ctrlProp" Target="../ctrlProps/ctrlProp301.xml"/><Relationship Id="rId9" Type="http://schemas.openxmlformats.org/officeDocument/2006/relationships/ctrlProp" Target="../ctrlProps/ctrlProp306.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314.xml"/><Relationship Id="rId3" Type="http://schemas.openxmlformats.org/officeDocument/2006/relationships/ctrlProp" Target="../ctrlProps/ctrlProp309.xml"/><Relationship Id="rId7" Type="http://schemas.openxmlformats.org/officeDocument/2006/relationships/ctrlProp" Target="../ctrlProps/ctrlProp313.xml"/><Relationship Id="rId2" Type="http://schemas.openxmlformats.org/officeDocument/2006/relationships/vmlDrawing" Target="../drawings/vmlDrawing33.vml"/><Relationship Id="rId1" Type="http://schemas.openxmlformats.org/officeDocument/2006/relationships/drawing" Target="../drawings/drawing35.xml"/><Relationship Id="rId6" Type="http://schemas.openxmlformats.org/officeDocument/2006/relationships/ctrlProp" Target="../ctrlProps/ctrlProp312.xml"/><Relationship Id="rId11" Type="http://schemas.openxmlformats.org/officeDocument/2006/relationships/ctrlProp" Target="../ctrlProps/ctrlProp317.xml"/><Relationship Id="rId5" Type="http://schemas.openxmlformats.org/officeDocument/2006/relationships/ctrlProp" Target="../ctrlProps/ctrlProp311.xml"/><Relationship Id="rId10" Type="http://schemas.openxmlformats.org/officeDocument/2006/relationships/ctrlProp" Target="../ctrlProps/ctrlProp316.xml"/><Relationship Id="rId4" Type="http://schemas.openxmlformats.org/officeDocument/2006/relationships/ctrlProp" Target="../ctrlProps/ctrlProp310.xml"/><Relationship Id="rId9" Type="http://schemas.openxmlformats.org/officeDocument/2006/relationships/ctrlProp" Target="../ctrlProps/ctrlProp315.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323.xml"/><Relationship Id="rId13" Type="http://schemas.openxmlformats.org/officeDocument/2006/relationships/ctrlProp" Target="../ctrlProps/ctrlProp328.xml"/><Relationship Id="rId3" Type="http://schemas.openxmlformats.org/officeDocument/2006/relationships/ctrlProp" Target="../ctrlProps/ctrlProp318.xml"/><Relationship Id="rId7" Type="http://schemas.openxmlformats.org/officeDocument/2006/relationships/ctrlProp" Target="../ctrlProps/ctrlProp322.xml"/><Relationship Id="rId12" Type="http://schemas.openxmlformats.org/officeDocument/2006/relationships/ctrlProp" Target="../ctrlProps/ctrlProp327.xml"/><Relationship Id="rId2" Type="http://schemas.openxmlformats.org/officeDocument/2006/relationships/vmlDrawing" Target="../drawings/vmlDrawing34.vml"/><Relationship Id="rId1" Type="http://schemas.openxmlformats.org/officeDocument/2006/relationships/drawing" Target="../drawings/drawing36.xml"/><Relationship Id="rId6" Type="http://schemas.openxmlformats.org/officeDocument/2006/relationships/ctrlProp" Target="../ctrlProps/ctrlProp321.xml"/><Relationship Id="rId11" Type="http://schemas.openxmlformats.org/officeDocument/2006/relationships/ctrlProp" Target="../ctrlProps/ctrlProp326.xml"/><Relationship Id="rId5" Type="http://schemas.openxmlformats.org/officeDocument/2006/relationships/ctrlProp" Target="../ctrlProps/ctrlProp320.xml"/><Relationship Id="rId10" Type="http://schemas.openxmlformats.org/officeDocument/2006/relationships/ctrlProp" Target="../ctrlProps/ctrlProp325.xml"/><Relationship Id="rId4" Type="http://schemas.openxmlformats.org/officeDocument/2006/relationships/ctrlProp" Target="../ctrlProps/ctrlProp319.xml"/><Relationship Id="rId9" Type="http://schemas.openxmlformats.org/officeDocument/2006/relationships/ctrlProp" Target="../ctrlProps/ctrlProp324.xml"/><Relationship Id="rId14" Type="http://schemas.openxmlformats.org/officeDocument/2006/relationships/ctrlProp" Target="../ctrlProps/ctrlProp329.xml"/></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335.xml"/><Relationship Id="rId3" Type="http://schemas.openxmlformats.org/officeDocument/2006/relationships/ctrlProp" Target="../ctrlProps/ctrlProp330.xml"/><Relationship Id="rId7" Type="http://schemas.openxmlformats.org/officeDocument/2006/relationships/ctrlProp" Target="../ctrlProps/ctrlProp334.xml"/><Relationship Id="rId2" Type="http://schemas.openxmlformats.org/officeDocument/2006/relationships/vmlDrawing" Target="../drawings/vmlDrawing35.vml"/><Relationship Id="rId1" Type="http://schemas.openxmlformats.org/officeDocument/2006/relationships/drawing" Target="../drawings/drawing37.xml"/><Relationship Id="rId6" Type="http://schemas.openxmlformats.org/officeDocument/2006/relationships/ctrlProp" Target="../ctrlProps/ctrlProp333.xml"/><Relationship Id="rId11" Type="http://schemas.openxmlformats.org/officeDocument/2006/relationships/ctrlProp" Target="../ctrlProps/ctrlProp338.xml"/><Relationship Id="rId5" Type="http://schemas.openxmlformats.org/officeDocument/2006/relationships/ctrlProp" Target="../ctrlProps/ctrlProp332.xml"/><Relationship Id="rId10" Type="http://schemas.openxmlformats.org/officeDocument/2006/relationships/ctrlProp" Target="../ctrlProps/ctrlProp337.xml"/><Relationship Id="rId4" Type="http://schemas.openxmlformats.org/officeDocument/2006/relationships/ctrlProp" Target="../ctrlProps/ctrlProp331.xml"/><Relationship Id="rId9" Type="http://schemas.openxmlformats.org/officeDocument/2006/relationships/ctrlProp" Target="../ctrlProps/ctrlProp336.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344.xml"/><Relationship Id="rId3" Type="http://schemas.openxmlformats.org/officeDocument/2006/relationships/ctrlProp" Target="../ctrlProps/ctrlProp339.xml"/><Relationship Id="rId7" Type="http://schemas.openxmlformats.org/officeDocument/2006/relationships/ctrlProp" Target="../ctrlProps/ctrlProp343.xml"/><Relationship Id="rId2" Type="http://schemas.openxmlformats.org/officeDocument/2006/relationships/vmlDrawing" Target="../drawings/vmlDrawing36.vml"/><Relationship Id="rId1" Type="http://schemas.openxmlformats.org/officeDocument/2006/relationships/drawing" Target="../drawings/drawing38.xml"/><Relationship Id="rId6" Type="http://schemas.openxmlformats.org/officeDocument/2006/relationships/ctrlProp" Target="../ctrlProps/ctrlProp342.xml"/><Relationship Id="rId11" Type="http://schemas.openxmlformats.org/officeDocument/2006/relationships/ctrlProp" Target="../ctrlProps/ctrlProp347.xml"/><Relationship Id="rId5" Type="http://schemas.openxmlformats.org/officeDocument/2006/relationships/ctrlProp" Target="../ctrlProps/ctrlProp341.xml"/><Relationship Id="rId10" Type="http://schemas.openxmlformats.org/officeDocument/2006/relationships/ctrlProp" Target="../ctrlProps/ctrlProp346.xml"/><Relationship Id="rId4" Type="http://schemas.openxmlformats.org/officeDocument/2006/relationships/ctrlProp" Target="../ctrlProps/ctrlProp340.xml"/><Relationship Id="rId9" Type="http://schemas.openxmlformats.org/officeDocument/2006/relationships/ctrlProp" Target="../ctrlProps/ctrlProp345.xml"/></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352.xml"/><Relationship Id="rId3" Type="http://schemas.openxmlformats.org/officeDocument/2006/relationships/vmlDrawing" Target="../drawings/vmlDrawing37.vml"/><Relationship Id="rId7" Type="http://schemas.openxmlformats.org/officeDocument/2006/relationships/ctrlProp" Target="../ctrlProps/ctrlProp351.xml"/><Relationship Id="rId12" Type="http://schemas.openxmlformats.org/officeDocument/2006/relationships/ctrlProp" Target="../ctrlProps/ctrlProp356.xml"/><Relationship Id="rId2" Type="http://schemas.openxmlformats.org/officeDocument/2006/relationships/drawing" Target="../drawings/drawing39.xml"/><Relationship Id="rId1" Type="http://schemas.openxmlformats.org/officeDocument/2006/relationships/printerSettings" Target="../printerSettings/printerSettings7.bin"/><Relationship Id="rId6" Type="http://schemas.openxmlformats.org/officeDocument/2006/relationships/ctrlProp" Target="../ctrlProps/ctrlProp350.xml"/><Relationship Id="rId11" Type="http://schemas.openxmlformats.org/officeDocument/2006/relationships/ctrlProp" Target="../ctrlProps/ctrlProp355.xml"/><Relationship Id="rId5" Type="http://schemas.openxmlformats.org/officeDocument/2006/relationships/ctrlProp" Target="../ctrlProps/ctrlProp349.xml"/><Relationship Id="rId10" Type="http://schemas.openxmlformats.org/officeDocument/2006/relationships/ctrlProp" Target="../ctrlProps/ctrlProp354.xml"/><Relationship Id="rId4" Type="http://schemas.openxmlformats.org/officeDocument/2006/relationships/ctrlProp" Target="../ctrlProps/ctrlProp348.xml"/><Relationship Id="rId9" Type="http://schemas.openxmlformats.org/officeDocument/2006/relationships/ctrlProp" Target="../ctrlProps/ctrlProp35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61.xml"/><Relationship Id="rId3" Type="http://schemas.openxmlformats.org/officeDocument/2006/relationships/vmlDrawing" Target="../drawings/vmlDrawing38.vml"/><Relationship Id="rId7" Type="http://schemas.openxmlformats.org/officeDocument/2006/relationships/ctrlProp" Target="../ctrlProps/ctrlProp360.xml"/><Relationship Id="rId12" Type="http://schemas.openxmlformats.org/officeDocument/2006/relationships/ctrlProp" Target="../ctrlProps/ctrlProp365.xml"/><Relationship Id="rId2" Type="http://schemas.openxmlformats.org/officeDocument/2006/relationships/drawing" Target="../drawings/drawing40.xml"/><Relationship Id="rId1" Type="http://schemas.openxmlformats.org/officeDocument/2006/relationships/printerSettings" Target="../printerSettings/printerSettings8.bin"/><Relationship Id="rId6" Type="http://schemas.openxmlformats.org/officeDocument/2006/relationships/ctrlProp" Target="../ctrlProps/ctrlProp359.xml"/><Relationship Id="rId11" Type="http://schemas.openxmlformats.org/officeDocument/2006/relationships/ctrlProp" Target="../ctrlProps/ctrlProp364.xml"/><Relationship Id="rId5" Type="http://schemas.openxmlformats.org/officeDocument/2006/relationships/ctrlProp" Target="../ctrlProps/ctrlProp358.xml"/><Relationship Id="rId10" Type="http://schemas.openxmlformats.org/officeDocument/2006/relationships/ctrlProp" Target="../ctrlProps/ctrlProp363.xml"/><Relationship Id="rId4" Type="http://schemas.openxmlformats.org/officeDocument/2006/relationships/ctrlProp" Target="../ctrlProps/ctrlProp357.xml"/><Relationship Id="rId9" Type="http://schemas.openxmlformats.org/officeDocument/2006/relationships/ctrlProp" Target="../ctrlProps/ctrlProp362.xml"/></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371.xml"/><Relationship Id="rId3" Type="http://schemas.openxmlformats.org/officeDocument/2006/relationships/ctrlProp" Target="../ctrlProps/ctrlProp366.xml"/><Relationship Id="rId7" Type="http://schemas.openxmlformats.org/officeDocument/2006/relationships/ctrlProp" Target="../ctrlProps/ctrlProp370.xml"/><Relationship Id="rId2" Type="http://schemas.openxmlformats.org/officeDocument/2006/relationships/vmlDrawing" Target="../drawings/vmlDrawing39.vml"/><Relationship Id="rId1" Type="http://schemas.openxmlformats.org/officeDocument/2006/relationships/drawing" Target="../drawings/drawing41.xml"/><Relationship Id="rId6" Type="http://schemas.openxmlformats.org/officeDocument/2006/relationships/ctrlProp" Target="../ctrlProps/ctrlProp369.xml"/><Relationship Id="rId11" Type="http://schemas.openxmlformats.org/officeDocument/2006/relationships/ctrlProp" Target="../ctrlProps/ctrlProp374.xml"/><Relationship Id="rId5" Type="http://schemas.openxmlformats.org/officeDocument/2006/relationships/ctrlProp" Target="../ctrlProps/ctrlProp368.xml"/><Relationship Id="rId10" Type="http://schemas.openxmlformats.org/officeDocument/2006/relationships/ctrlProp" Target="../ctrlProps/ctrlProp373.xml"/><Relationship Id="rId4" Type="http://schemas.openxmlformats.org/officeDocument/2006/relationships/ctrlProp" Target="../ctrlProps/ctrlProp367.xml"/><Relationship Id="rId9" Type="http://schemas.openxmlformats.org/officeDocument/2006/relationships/ctrlProp" Target="../ctrlProps/ctrlProp372.xml"/></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380.xml"/><Relationship Id="rId3" Type="http://schemas.openxmlformats.org/officeDocument/2006/relationships/ctrlProp" Target="../ctrlProps/ctrlProp375.xml"/><Relationship Id="rId7" Type="http://schemas.openxmlformats.org/officeDocument/2006/relationships/ctrlProp" Target="../ctrlProps/ctrlProp379.xml"/><Relationship Id="rId2" Type="http://schemas.openxmlformats.org/officeDocument/2006/relationships/vmlDrawing" Target="../drawings/vmlDrawing40.vml"/><Relationship Id="rId1" Type="http://schemas.openxmlformats.org/officeDocument/2006/relationships/drawing" Target="../drawings/drawing42.xml"/><Relationship Id="rId6" Type="http://schemas.openxmlformats.org/officeDocument/2006/relationships/ctrlProp" Target="../ctrlProps/ctrlProp378.xml"/><Relationship Id="rId11" Type="http://schemas.openxmlformats.org/officeDocument/2006/relationships/ctrlProp" Target="../ctrlProps/ctrlProp383.xml"/><Relationship Id="rId5" Type="http://schemas.openxmlformats.org/officeDocument/2006/relationships/ctrlProp" Target="../ctrlProps/ctrlProp377.xml"/><Relationship Id="rId10" Type="http://schemas.openxmlformats.org/officeDocument/2006/relationships/ctrlProp" Target="../ctrlProps/ctrlProp382.xml"/><Relationship Id="rId4" Type="http://schemas.openxmlformats.org/officeDocument/2006/relationships/ctrlProp" Target="../ctrlProps/ctrlProp376.xml"/><Relationship Id="rId9" Type="http://schemas.openxmlformats.org/officeDocument/2006/relationships/ctrlProp" Target="../ctrlProps/ctrlProp38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27"/>
  <sheetViews>
    <sheetView showGridLines="0" tabSelected="1" topLeftCell="A10" zoomScale="80" zoomScaleNormal="80" workbookViewId="0">
      <selection activeCell="B13" sqref="B13"/>
    </sheetView>
  </sheetViews>
  <sheetFormatPr defaultColWidth="10.84765625" defaultRowHeight="15.6"/>
  <cols>
    <col min="1" max="1" width="28.59765625" style="1" customWidth="1"/>
    <col min="2" max="2" width="146" customWidth="1"/>
  </cols>
  <sheetData>
    <row r="1" spans="1:2" ht="42" customHeight="1">
      <c r="A1" s="223" t="s">
        <v>590</v>
      </c>
      <c r="B1" s="223"/>
    </row>
    <row r="3" spans="1:2" ht="240" customHeight="1">
      <c r="A3" s="224" t="s">
        <v>234</v>
      </c>
      <c r="B3" s="224"/>
    </row>
    <row r="4" spans="1:2" ht="15.9" thickBot="1">
      <c r="A4" s="110" t="s">
        <v>235</v>
      </c>
    </row>
    <row r="5" spans="1:2" ht="51.6" customHeight="1" thickBot="1">
      <c r="A5" s="60" t="s">
        <v>237</v>
      </c>
      <c r="B5" s="115" t="s">
        <v>236</v>
      </c>
    </row>
    <row r="6" spans="1:2" ht="31.5" thickBot="1">
      <c r="A6" s="60" t="s">
        <v>238</v>
      </c>
      <c r="B6" s="115" t="s">
        <v>239</v>
      </c>
    </row>
    <row r="7" spans="1:2" ht="15.9" thickBot="1">
      <c r="A7" s="111" t="s">
        <v>135</v>
      </c>
      <c r="B7" s="112"/>
    </row>
    <row r="8" spans="1:2" ht="81.599999999999994" customHeight="1" thickBot="1">
      <c r="A8" s="62" t="s">
        <v>240</v>
      </c>
      <c r="B8" s="115" t="s">
        <v>241</v>
      </c>
    </row>
    <row r="9" spans="1:2" ht="47.1" thickBot="1">
      <c r="A9" s="113" t="s">
        <v>242</v>
      </c>
      <c r="B9" s="114" t="s">
        <v>243</v>
      </c>
    </row>
    <row r="10" spans="1:2" ht="15.9" thickBot="1">
      <c r="A10" s="111" t="s">
        <v>244</v>
      </c>
      <c r="B10" s="112"/>
    </row>
    <row r="11" spans="1:2" s="68" customFormat="1" ht="55.5" customHeight="1" thickBot="1">
      <c r="A11" s="62" t="s">
        <v>245</v>
      </c>
      <c r="B11" s="115" t="s">
        <v>246</v>
      </c>
    </row>
    <row r="12" spans="1:2" ht="15.9" thickBot="1">
      <c r="A12" s="111" t="s">
        <v>247</v>
      </c>
      <c r="B12" s="112"/>
    </row>
    <row r="13" spans="1:2" ht="45" customHeight="1" thickBot="1">
      <c r="A13" s="61" t="s">
        <v>248</v>
      </c>
      <c r="B13" s="116" t="s">
        <v>249</v>
      </c>
    </row>
    <row r="14" spans="1:2" ht="15.9" thickBot="1">
      <c r="A14" s="111" t="s">
        <v>250</v>
      </c>
      <c r="B14" s="112"/>
    </row>
    <row r="15" spans="1:2" s="69" customFormat="1" ht="107.65" customHeight="1" thickBot="1">
      <c r="A15" s="62" t="s">
        <v>251</v>
      </c>
      <c r="B15" s="115" t="s">
        <v>252</v>
      </c>
    </row>
    <row r="16" spans="1:2" ht="15.9" thickBot="1">
      <c r="A16" s="111" t="s">
        <v>253</v>
      </c>
      <c r="B16" s="112"/>
    </row>
    <row r="17" spans="1:2" ht="55" customHeight="1" thickBot="1">
      <c r="A17" s="61" t="s">
        <v>254</v>
      </c>
      <c r="B17" s="116" t="s">
        <v>255</v>
      </c>
    </row>
    <row r="18" spans="1:2" ht="86.65" customHeight="1" thickBot="1">
      <c r="A18" s="61" t="s">
        <v>256</v>
      </c>
      <c r="B18" s="116" t="s">
        <v>257</v>
      </c>
    </row>
    <row r="19" spans="1:2" ht="15.9" thickBot="1">
      <c r="A19" s="110" t="s">
        <v>258</v>
      </c>
      <c r="B19" s="112"/>
    </row>
    <row r="20" spans="1:2" ht="40.15" customHeight="1" thickBot="1">
      <c r="A20" s="62" t="s">
        <v>259</v>
      </c>
      <c r="B20" s="70" t="s">
        <v>260</v>
      </c>
    </row>
    <row r="21" spans="1:2" ht="15.9" thickBot="1">
      <c r="A21" s="111" t="s">
        <v>261</v>
      </c>
      <c r="B21" s="112"/>
    </row>
    <row r="22" spans="1:2" ht="31.5" thickBot="1">
      <c r="A22" s="61" t="s">
        <v>262</v>
      </c>
      <c r="B22" s="115" t="s">
        <v>263</v>
      </c>
    </row>
    <row r="23" spans="1:2" ht="31.2">
      <c r="A23" s="84" t="s">
        <v>264</v>
      </c>
      <c r="B23" s="70" t="s">
        <v>265</v>
      </c>
    </row>
    <row r="24" spans="1:2">
      <c r="A24" s="110" t="s">
        <v>591</v>
      </c>
      <c r="B24" s="117"/>
    </row>
    <row r="25" spans="1:2" ht="140.5" customHeight="1">
      <c r="A25" s="225" t="s">
        <v>592</v>
      </c>
      <c r="B25" s="225"/>
    </row>
    <row r="26" spans="1:2">
      <c r="B26" s="1"/>
    </row>
    <row r="27" spans="1:2">
      <c r="B27" s="1"/>
    </row>
  </sheetData>
  <mergeCells count="3">
    <mergeCell ref="A1:B1"/>
    <mergeCell ref="A3:B3"/>
    <mergeCell ref="A25:B25"/>
  </mergeCells>
  <phoneticPr fontId="17" type="noConversion"/>
  <pageMargins left="0.7" right="0.7" top="0.75" bottom="0.75" header="0.3" footer="0.3"/>
  <pageSetup paperSize="9" scale="84" orientation="portrait" horizontalDpi="1200" verticalDpi="1200" r:id="rId1"/>
  <rowBreaks count="1" manualBreakCount="1">
    <brk id="5" max="16383" man="1"/>
  </rowBreaks>
  <colBreaks count="1" manualBreakCount="1">
    <brk id="2"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7D9D5-75FC-42A2-9738-70DD029691CF}">
  <dimension ref="C2:C33"/>
  <sheetViews>
    <sheetView workbookViewId="0">
      <selection activeCell="G32" sqref="G32"/>
    </sheetView>
  </sheetViews>
  <sheetFormatPr defaultRowHeight="15.6"/>
  <sheetData>
    <row r="2" spans="3:3">
      <c r="C2">
        <v>2019</v>
      </c>
    </row>
    <row r="3" spans="3:3">
      <c r="C3">
        <v>2020</v>
      </c>
    </row>
    <row r="4" spans="3:3">
      <c r="C4">
        <v>2021</v>
      </c>
    </row>
    <row r="5" spans="3:3">
      <c r="C5">
        <v>2022</v>
      </c>
    </row>
    <row r="6" spans="3:3">
      <c r="C6">
        <v>2023</v>
      </c>
    </row>
    <row r="7" spans="3:3">
      <c r="C7">
        <v>2024</v>
      </c>
    </row>
    <row r="8" spans="3:3">
      <c r="C8">
        <v>2025</v>
      </c>
    </row>
    <row r="9" spans="3:3">
      <c r="C9">
        <v>2026</v>
      </c>
    </row>
    <row r="10" spans="3:3">
      <c r="C10">
        <v>2027</v>
      </c>
    </row>
    <row r="11" spans="3:3">
      <c r="C11">
        <v>2028</v>
      </c>
    </row>
    <row r="12" spans="3:3">
      <c r="C12">
        <v>2029</v>
      </c>
    </row>
    <row r="13" spans="3:3">
      <c r="C13">
        <v>2030</v>
      </c>
    </row>
    <row r="14" spans="3:3">
      <c r="C14">
        <v>2031</v>
      </c>
    </row>
    <row r="15" spans="3:3">
      <c r="C15">
        <v>2032</v>
      </c>
    </row>
    <row r="16" spans="3:3">
      <c r="C16">
        <v>2033</v>
      </c>
    </row>
    <row r="17" spans="3:3">
      <c r="C17">
        <v>2034</v>
      </c>
    </row>
    <row r="18" spans="3:3">
      <c r="C18">
        <v>2035</v>
      </c>
    </row>
    <row r="19" spans="3:3">
      <c r="C19">
        <v>2036</v>
      </c>
    </row>
    <row r="20" spans="3:3">
      <c r="C20">
        <v>2037</v>
      </c>
    </row>
    <row r="21" spans="3:3">
      <c r="C21">
        <v>2038</v>
      </c>
    </row>
    <row r="22" spans="3:3">
      <c r="C22">
        <v>2039</v>
      </c>
    </row>
    <row r="23" spans="3:3">
      <c r="C23">
        <v>2040</v>
      </c>
    </row>
    <row r="24" spans="3:3">
      <c r="C24">
        <v>2041</v>
      </c>
    </row>
    <row r="25" spans="3:3">
      <c r="C25">
        <v>2042</v>
      </c>
    </row>
    <row r="26" spans="3:3">
      <c r="C26">
        <v>2043</v>
      </c>
    </row>
    <row r="27" spans="3:3">
      <c r="C27">
        <v>2044</v>
      </c>
    </row>
    <row r="28" spans="3:3">
      <c r="C28">
        <v>2045</v>
      </c>
    </row>
    <row r="29" spans="3:3">
      <c r="C29">
        <v>2046</v>
      </c>
    </row>
    <row r="30" spans="3:3">
      <c r="C30">
        <v>2047</v>
      </c>
    </row>
    <row r="31" spans="3:3">
      <c r="C31">
        <v>2048</v>
      </c>
    </row>
    <row r="32" spans="3:3">
      <c r="C32">
        <v>2049</v>
      </c>
    </row>
    <row r="33" spans="3:3">
      <c r="C33">
        <v>2050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N46"/>
  <sheetViews>
    <sheetView showGridLines="0" topLeftCell="B21" zoomScale="80" zoomScaleNormal="80" workbookViewId="0">
      <selection activeCell="C28" sqref="C28"/>
    </sheetView>
  </sheetViews>
  <sheetFormatPr defaultColWidth="11" defaultRowHeight="15.6"/>
  <cols>
    <col min="1" max="1" width="0" hidden="1" customWidth="1"/>
    <col min="2" max="2" width="8" style="13" customWidth="1"/>
    <col min="3" max="3" width="71" style="104" customWidth="1"/>
    <col min="4" max="4" width="17.59765625" customWidth="1"/>
    <col min="5" max="5" width="17.59765625" style="208" customWidth="1"/>
    <col min="6" max="6" width="22.34765625" style="1" customWidth="1"/>
    <col min="7" max="7" width="19.59765625" bestFit="1" customWidth="1"/>
    <col min="9" max="9" width="15" bestFit="1" customWidth="1"/>
    <col min="10" max="10" width="17.34765625" bestFit="1" customWidth="1"/>
    <col min="11" max="11" width="21.5" bestFit="1" customWidth="1"/>
    <col min="12" max="12" width="17.09765625" bestFit="1" customWidth="1"/>
  </cols>
  <sheetData>
    <row r="1" spans="1:14" ht="285.75" customHeight="1">
      <c r="B1" s="227" t="s">
        <v>593</v>
      </c>
      <c r="C1" s="228"/>
      <c r="D1" s="228"/>
      <c r="E1" s="228"/>
      <c r="F1" s="228"/>
      <c r="G1" s="229"/>
      <c r="H1" s="74"/>
      <c r="I1" s="74"/>
      <c r="J1" s="74"/>
      <c r="K1" s="74"/>
      <c r="L1" s="74"/>
      <c r="M1" s="75"/>
      <c r="N1" s="75"/>
    </row>
    <row r="3" spans="1:14" ht="20.399999999999999">
      <c r="B3" s="16" t="s">
        <v>646</v>
      </c>
      <c r="D3" s="52" t="s">
        <v>648</v>
      </c>
      <c r="E3" s="57">
        <v>2019</v>
      </c>
      <c r="I3" s="226" t="s">
        <v>221</v>
      </c>
      <c r="J3" s="226"/>
      <c r="K3" s="226"/>
      <c r="L3" s="226"/>
      <c r="M3" s="226"/>
      <c r="N3" s="226"/>
    </row>
    <row r="5" spans="1:14" s="10" customFormat="1" ht="42.75" customHeight="1">
      <c r="B5" s="8" t="s">
        <v>39</v>
      </c>
      <c r="C5" s="106" t="s">
        <v>1</v>
      </c>
      <c r="D5" s="4" t="s">
        <v>171</v>
      </c>
      <c r="E5" s="4" t="s">
        <v>172</v>
      </c>
      <c r="F5" s="4" t="s">
        <v>46</v>
      </c>
      <c r="G5" s="2" t="s">
        <v>45</v>
      </c>
      <c r="I5" s="17" t="s">
        <v>44</v>
      </c>
      <c r="J5" s="4" t="s">
        <v>52</v>
      </c>
      <c r="K5" s="9" t="s">
        <v>51</v>
      </c>
      <c r="L5" s="9" t="s">
        <v>286</v>
      </c>
      <c r="M5" s="10" t="s">
        <v>285</v>
      </c>
    </row>
    <row r="6" spans="1:14" ht="31.2">
      <c r="A6" t="b">
        <v>0</v>
      </c>
      <c r="B6" s="11">
        <v>1</v>
      </c>
      <c r="C6" s="105" t="s">
        <v>0</v>
      </c>
      <c r="D6" s="72">
        <f>IF(A6=TRUE, 0, 3)</f>
        <v>3</v>
      </c>
      <c r="E6" s="72">
        <f>'1. Legal Status'!D10</f>
        <v>0</v>
      </c>
      <c r="F6" s="72"/>
      <c r="G6" s="7" t="s">
        <v>34</v>
      </c>
      <c r="I6" s="18" t="s">
        <v>34</v>
      </c>
      <c r="J6" s="14">
        <f>E6</f>
        <v>0</v>
      </c>
      <c r="K6" s="15">
        <f>D6</f>
        <v>3</v>
      </c>
      <c r="L6" s="19">
        <f>J6/K6</f>
        <v>0</v>
      </c>
      <c r="M6" s="142">
        <v>1</v>
      </c>
    </row>
    <row r="7" spans="1:14" ht="33.75" customHeight="1">
      <c r="A7" t="b">
        <v>0</v>
      </c>
      <c r="B7" s="11">
        <v>2</v>
      </c>
      <c r="C7" s="105" t="s">
        <v>2</v>
      </c>
      <c r="D7" s="72">
        <f t="shared" ref="D7:D45" si="0">IF(A7=TRUE, 0, 3)</f>
        <v>3</v>
      </c>
      <c r="E7" s="72">
        <f>'2. Protected area regulations'!D9</f>
        <v>0</v>
      </c>
      <c r="F7" s="72"/>
      <c r="G7" s="7" t="s">
        <v>35</v>
      </c>
      <c r="I7" s="18" t="s">
        <v>35</v>
      </c>
      <c r="J7" s="14">
        <f>E7+E9+E10+E12+E13+E14+E27+E28+E34</f>
        <v>0</v>
      </c>
      <c r="K7" s="15">
        <f>D7+D9+D10+D12+D13+D14+D27+D28</f>
        <v>24</v>
      </c>
      <c r="L7" s="19">
        <f t="shared" ref="L7:L11" si="1">J7/K7</f>
        <v>0</v>
      </c>
      <c r="M7" s="142">
        <v>1</v>
      </c>
    </row>
    <row r="8" spans="1:14" ht="31.2">
      <c r="A8" t="b">
        <v>0</v>
      </c>
      <c r="B8" s="11">
        <v>3</v>
      </c>
      <c r="C8" s="105" t="s">
        <v>3</v>
      </c>
      <c r="D8" s="72">
        <f t="shared" si="0"/>
        <v>3</v>
      </c>
      <c r="E8" s="72">
        <f>'3. Law enforcement'!D9</f>
        <v>0</v>
      </c>
      <c r="F8" s="72"/>
      <c r="G8" s="7" t="s">
        <v>47</v>
      </c>
      <c r="I8" s="18" t="s">
        <v>50</v>
      </c>
      <c r="J8" s="14">
        <f>E8+E15+E19+E20+E21+E22+E24+E37</f>
        <v>0</v>
      </c>
      <c r="K8" s="15">
        <f>D15+D19+D20+D21+D22+D24+D37</f>
        <v>21</v>
      </c>
      <c r="L8" s="19">
        <f t="shared" si="1"/>
        <v>0</v>
      </c>
      <c r="M8" s="142">
        <v>1</v>
      </c>
    </row>
    <row r="9" spans="1:14">
      <c r="A9" t="b">
        <v>0</v>
      </c>
      <c r="B9" s="11">
        <v>4</v>
      </c>
      <c r="C9" s="105" t="s">
        <v>4</v>
      </c>
      <c r="D9" s="72">
        <f t="shared" si="0"/>
        <v>3</v>
      </c>
      <c r="E9" s="72">
        <f>'4. Protected area objectives'!D9</f>
        <v>0</v>
      </c>
      <c r="F9" s="72"/>
      <c r="G9" s="7" t="s">
        <v>35</v>
      </c>
      <c r="I9" s="18" t="s">
        <v>47</v>
      </c>
      <c r="J9" s="14">
        <f>E8+E11+E17+E18+E23+E25+E29+E30+E31+E32+E34+E40+E36+E41</f>
        <v>0</v>
      </c>
      <c r="K9" s="15">
        <f>D8+D11+D17+D18+D23+D25+D29+D30+D31+D32+D34+D40+D36+D41</f>
        <v>42</v>
      </c>
      <c r="L9" s="19">
        <f t="shared" si="1"/>
        <v>0</v>
      </c>
      <c r="M9" s="142">
        <v>1</v>
      </c>
    </row>
    <row r="10" spans="1:14" ht="31.2">
      <c r="A10" t="b">
        <v>0</v>
      </c>
      <c r="B10" s="11">
        <v>5</v>
      </c>
      <c r="C10" s="105" t="s">
        <v>5</v>
      </c>
      <c r="D10" s="72">
        <f t="shared" si="0"/>
        <v>3</v>
      </c>
      <c r="E10" s="72">
        <f>'5. Protected area design'!D9</f>
        <v>0</v>
      </c>
      <c r="F10" s="72"/>
      <c r="G10" s="7" t="s">
        <v>35</v>
      </c>
      <c r="I10" s="18" t="s">
        <v>48</v>
      </c>
      <c r="J10" s="14">
        <f>E26+E31+E35+E43</f>
        <v>0</v>
      </c>
      <c r="K10" s="15">
        <f>D26+D31+D35+D43</f>
        <v>12</v>
      </c>
      <c r="L10" s="19">
        <f t="shared" si="1"/>
        <v>0</v>
      </c>
      <c r="M10" s="142">
        <v>1</v>
      </c>
    </row>
    <row r="11" spans="1:14" ht="16" customHeight="1">
      <c r="A11" t="b">
        <v>0</v>
      </c>
      <c r="B11" s="11">
        <v>6</v>
      </c>
      <c r="C11" s="105" t="s">
        <v>7</v>
      </c>
      <c r="D11" s="72">
        <f t="shared" si="0"/>
        <v>3</v>
      </c>
      <c r="E11" s="72">
        <f>'6. Boundary demarcation'!D9</f>
        <v>0</v>
      </c>
      <c r="F11" s="72"/>
      <c r="G11" s="7" t="s">
        <v>47</v>
      </c>
      <c r="I11" s="5" t="s">
        <v>49</v>
      </c>
      <c r="J11" s="14">
        <f>E33+E38+E39+E44+E45</f>
        <v>0</v>
      </c>
      <c r="K11" s="15">
        <f>D16+D33+D38+D39+D44+D45</f>
        <v>18</v>
      </c>
      <c r="L11" s="19">
        <f t="shared" si="1"/>
        <v>0</v>
      </c>
      <c r="M11" s="142">
        <v>1</v>
      </c>
    </row>
    <row r="12" spans="1:14" ht="16" customHeight="1">
      <c r="A12" t="b">
        <v>0</v>
      </c>
      <c r="B12" s="11">
        <v>7</v>
      </c>
      <c r="C12" s="105" t="s">
        <v>8</v>
      </c>
      <c r="D12" s="72">
        <f t="shared" si="0"/>
        <v>3</v>
      </c>
      <c r="E12" s="72">
        <f>'7. Management plan'!D9</f>
        <v>0</v>
      </c>
      <c r="F12" s="72"/>
      <c r="G12" s="7" t="s">
        <v>35</v>
      </c>
      <c r="I12" s="17" t="s">
        <v>40</v>
      </c>
      <c r="J12" s="4">
        <f>SUM(J6:J11)</f>
        <v>0</v>
      </c>
      <c r="K12" s="17">
        <f>SUM(K6:K11)</f>
        <v>120</v>
      </c>
      <c r="L12" s="19">
        <f>J12/K12</f>
        <v>0</v>
      </c>
      <c r="M12" s="142">
        <v>1</v>
      </c>
    </row>
    <row r="13" spans="1:14">
      <c r="A13" t="b">
        <v>0</v>
      </c>
      <c r="B13" s="11" t="s">
        <v>43</v>
      </c>
      <c r="C13" s="105" t="s">
        <v>136</v>
      </c>
      <c r="D13" s="72">
        <f t="shared" si="0"/>
        <v>3</v>
      </c>
      <c r="E13" s="72">
        <f>'Additional points on 7.'!D8</f>
        <v>0</v>
      </c>
      <c r="F13" s="72"/>
      <c r="G13" s="7" t="s">
        <v>35</v>
      </c>
    </row>
    <row r="14" spans="1:14">
      <c r="A14" t="b">
        <v>0</v>
      </c>
      <c r="B14" s="11">
        <v>8</v>
      </c>
      <c r="C14" s="105" t="s">
        <v>9</v>
      </c>
      <c r="D14" s="72">
        <f t="shared" si="0"/>
        <v>3</v>
      </c>
      <c r="E14" s="72">
        <f>'8. Regular work plan'!D9</f>
        <v>0</v>
      </c>
      <c r="F14" s="72"/>
      <c r="G14" s="7" t="s">
        <v>35</v>
      </c>
    </row>
    <row r="15" spans="1:14">
      <c r="A15" t="b">
        <v>0</v>
      </c>
      <c r="B15" s="11">
        <v>9</v>
      </c>
      <c r="C15" s="105" t="s">
        <v>10</v>
      </c>
      <c r="D15" s="72">
        <f t="shared" si="0"/>
        <v>3</v>
      </c>
      <c r="E15" s="72">
        <f>'9. Resource inventory'!D9</f>
        <v>0</v>
      </c>
      <c r="F15" s="72"/>
      <c r="G15" s="7" t="s">
        <v>50</v>
      </c>
    </row>
    <row r="16" spans="1:14" ht="31.2">
      <c r="A16" t="b">
        <v>0</v>
      </c>
      <c r="B16" s="11">
        <v>10</v>
      </c>
      <c r="C16" s="105" t="s">
        <v>11</v>
      </c>
      <c r="D16" s="72">
        <f t="shared" si="0"/>
        <v>3</v>
      </c>
      <c r="E16" s="72">
        <f>'10. Protection systems'!D9</f>
        <v>0</v>
      </c>
      <c r="F16" s="72"/>
      <c r="G16" s="7" t="s">
        <v>49</v>
      </c>
    </row>
    <row r="17" spans="1:7" ht="16" customHeight="1">
      <c r="A17" t="b">
        <v>0</v>
      </c>
      <c r="B17" s="11">
        <v>11</v>
      </c>
      <c r="C17" s="105" t="s">
        <v>12</v>
      </c>
      <c r="D17" s="72">
        <f t="shared" si="0"/>
        <v>3</v>
      </c>
      <c r="E17" s="72">
        <f>'11. Research '!D9</f>
        <v>0</v>
      </c>
      <c r="F17" s="72"/>
      <c r="G17" s="7" t="s">
        <v>47</v>
      </c>
    </row>
    <row r="18" spans="1:7">
      <c r="A18" t="b">
        <v>0</v>
      </c>
      <c r="B18" s="11">
        <v>12</v>
      </c>
      <c r="C18" s="105" t="s">
        <v>13</v>
      </c>
      <c r="D18" s="72">
        <f t="shared" si="0"/>
        <v>3</v>
      </c>
      <c r="E18" s="72">
        <f>'12. Resource management '!D9</f>
        <v>0</v>
      </c>
      <c r="F18" s="72"/>
      <c r="G18" s="7" t="s">
        <v>47</v>
      </c>
    </row>
    <row r="19" spans="1:7">
      <c r="A19" t="b">
        <v>0</v>
      </c>
      <c r="B19" s="11">
        <v>13</v>
      </c>
      <c r="C19" s="105" t="s">
        <v>14</v>
      </c>
      <c r="D19" s="72">
        <f t="shared" si="0"/>
        <v>3</v>
      </c>
      <c r="E19" s="72">
        <f>'13. Staff numbers'!D9</f>
        <v>0</v>
      </c>
      <c r="F19" s="72"/>
      <c r="G19" s="7" t="s">
        <v>50</v>
      </c>
    </row>
    <row r="20" spans="1:7">
      <c r="A20" t="b">
        <v>0</v>
      </c>
      <c r="B20" s="11">
        <v>14</v>
      </c>
      <c r="C20" s="105" t="s">
        <v>15</v>
      </c>
      <c r="D20" s="72">
        <f t="shared" si="0"/>
        <v>3</v>
      </c>
      <c r="E20" s="72">
        <f>'14. Staff training'!D9</f>
        <v>0</v>
      </c>
      <c r="F20" s="72"/>
      <c r="G20" s="7" t="s">
        <v>50</v>
      </c>
    </row>
    <row r="21" spans="1:7">
      <c r="A21" t="b">
        <v>0</v>
      </c>
      <c r="B21" s="11">
        <v>15</v>
      </c>
      <c r="C21" s="105" t="s">
        <v>16</v>
      </c>
      <c r="D21" s="72">
        <f t="shared" si="0"/>
        <v>3</v>
      </c>
      <c r="E21" s="72">
        <f>'15. Current budget'!D9</f>
        <v>0</v>
      </c>
      <c r="F21" s="72"/>
      <c r="G21" s="7" t="s">
        <v>50</v>
      </c>
    </row>
    <row r="22" spans="1:7">
      <c r="A22" t="b">
        <v>0</v>
      </c>
      <c r="B22" s="11">
        <v>16</v>
      </c>
      <c r="C22" s="105" t="s">
        <v>17</v>
      </c>
      <c r="D22" s="72">
        <f t="shared" si="0"/>
        <v>3</v>
      </c>
      <c r="E22" s="72">
        <f>'16. Security of budget '!D9</f>
        <v>0</v>
      </c>
      <c r="F22" s="72"/>
      <c r="G22" s="7" t="s">
        <v>50</v>
      </c>
    </row>
    <row r="23" spans="1:7">
      <c r="A23" t="b">
        <v>0</v>
      </c>
      <c r="B23" s="11">
        <v>17</v>
      </c>
      <c r="C23" s="105" t="s">
        <v>18</v>
      </c>
      <c r="D23" s="72">
        <f t="shared" si="0"/>
        <v>3</v>
      </c>
      <c r="E23" s="72">
        <f>'17. Management of budget '!D9</f>
        <v>0</v>
      </c>
      <c r="F23" s="72"/>
      <c r="G23" s="7" t="s">
        <v>47</v>
      </c>
    </row>
    <row r="24" spans="1:7">
      <c r="A24" t="b">
        <v>0</v>
      </c>
      <c r="B24" s="11">
        <v>18</v>
      </c>
      <c r="C24" s="105" t="s">
        <v>19</v>
      </c>
      <c r="D24" s="72">
        <f t="shared" si="0"/>
        <v>3</v>
      </c>
      <c r="E24" s="72">
        <f>'18. Equipment and facilities'!D9</f>
        <v>0</v>
      </c>
      <c r="F24" s="72"/>
      <c r="G24" s="7" t="s">
        <v>50</v>
      </c>
    </row>
    <row r="25" spans="1:7">
      <c r="A25" t="b">
        <v>0</v>
      </c>
      <c r="B25" s="11">
        <v>19</v>
      </c>
      <c r="C25" s="105" t="s">
        <v>20</v>
      </c>
      <c r="D25" s="72">
        <f t="shared" si="0"/>
        <v>3</v>
      </c>
      <c r="E25" s="72">
        <f>'19. Maintaining equip. + facil.'!D9</f>
        <v>0</v>
      </c>
      <c r="F25" s="72"/>
      <c r="G25" s="7" t="s">
        <v>47</v>
      </c>
    </row>
    <row r="26" spans="1:7" ht="16" customHeight="1">
      <c r="A26" t="b">
        <v>0</v>
      </c>
      <c r="B26" s="11">
        <v>20</v>
      </c>
      <c r="C26" s="105" t="s">
        <v>21</v>
      </c>
      <c r="D26" s="72">
        <f t="shared" si="0"/>
        <v>3</v>
      </c>
      <c r="E26" s="72">
        <f>'20. Education and awareness '!D9</f>
        <v>0</v>
      </c>
      <c r="F26" s="72"/>
      <c r="G26" s="7" t="s">
        <v>47</v>
      </c>
    </row>
    <row r="27" spans="1:7" ht="31.2">
      <c r="A27" t="b">
        <v>0</v>
      </c>
      <c r="B27" s="11">
        <v>21</v>
      </c>
      <c r="C27" s="105" t="s">
        <v>22</v>
      </c>
      <c r="D27" s="72">
        <f t="shared" si="0"/>
        <v>3</v>
      </c>
      <c r="E27" s="72">
        <f>'21. Planning for land and water'!D9</f>
        <v>0</v>
      </c>
      <c r="F27" s="72"/>
      <c r="G27" s="7" t="s">
        <v>35</v>
      </c>
    </row>
    <row r="28" spans="1:7">
      <c r="A28" t="b">
        <v>0</v>
      </c>
      <c r="B28" s="11" t="s">
        <v>36</v>
      </c>
      <c r="C28" s="105" t="s">
        <v>137</v>
      </c>
      <c r="D28" s="72">
        <f t="shared" si="0"/>
        <v>3</v>
      </c>
      <c r="E28" s="72">
        <f>'Additional points on 21.'!D7</f>
        <v>0</v>
      </c>
      <c r="F28" s="72"/>
      <c r="G28" s="7" t="s">
        <v>35</v>
      </c>
    </row>
    <row r="29" spans="1:7">
      <c r="A29" t="b">
        <v>0</v>
      </c>
      <c r="B29" s="11">
        <v>22</v>
      </c>
      <c r="C29" s="105" t="s">
        <v>24</v>
      </c>
      <c r="D29" s="72">
        <f t="shared" si="0"/>
        <v>3</v>
      </c>
      <c r="E29" s="72">
        <f>'22. State and commercial neigh.'!D9</f>
        <v>0</v>
      </c>
      <c r="F29" s="72"/>
      <c r="G29" s="7" t="s">
        <v>47</v>
      </c>
    </row>
    <row r="30" spans="1:7" ht="31.2">
      <c r="A30" t="b">
        <v>0</v>
      </c>
      <c r="B30" s="11">
        <v>23</v>
      </c>
      <c r="C30" s="105" t="s">
        <v>25</v>
      </c>
      <c r="D30" s="72">
        <f t="shared" si="0"/>
        <v>3</v>
      </c>
      <c r="E30" s="72">
        <f>'23. Indigenous people'!D9</f>
        <v>0</v>
      </c>
      <c r="F30" s="72"/>
      <c r="G30" s="7" t="s">
        <v>47</v>
      </c>
    </row>
    <row r="31" spans="1:7" ht="31.2">
      <c r="A31" t="b">
        <v>0</v>
      </c>
      <c r="B31" s="11">
        <v>24</v>
      </c>
      <c r="C31" s="105" t="s">
        <v>26</v>
      </c>
      <c r="D31" s="72">
        <f t="shared" si="0"/>
        <v>3</v>
      </c>
      <c r="E31" s="72">
        <f>'24. Local communities '!D9</f>
        <v>0</v>
      </c>
      <c r="F31" s="72"/>
      <c r="G31" s="7" t="s">
        <v>47</v>
      </c>
    </row>
    <row r="32" spans="1:7">
      <c r="A32" t="b">
        <v>0</v>
      </c>
      <c r="B32" s="11" t="s">
        <v>37</v>
      </c>
      <c r="C32" s="105" t="s">
        <v>138</v>
      </c>
      <c r="D32" s="72">
        <f t="shared" si="0"/>
        <v>3</v>
      </c>
      <c r="E32" s="72">
        <f>'Additional points on 24.'!D7</f>
        <v>0</v>
      </c>
      <c r="F32" s="72"/>
      <c r="G32" s="7" t="s">
        <v>47</v>
      </c>
    </row>
    <row r="33" spans="1:12" ht="31.2">
      <c r="A33" t="b">
        <v>0</v>
      </c>
      <c r="B33" s="11">
        <v>25</v>
      </c>
      <c r="C33" s="105" t="s">
        <v>27</v>
      </c>
      <c r="D33" s="72">
        <f t="shared" si="0"/>
        <v>3</v>
      </c>
      <c r="E33" s="72">
        <f>'25. Economic benefit '!D10</f>
        <v>0</v>
      </c>
      <c r="F33" s="72"/>
      <c r="G33" s="7" t="s">
        <v>49</v>
      </c>
    </row>
    <row r="34" spans="1:12">
      <c r="A34" t="b">
        <v>0</v>
      </c>
      <c r="B34" s="11">
        <v>26</v>
      </c>
      <c r="C34" s="105" t="s">
        <v>28</v>
      </c>
      <c r="D34" s="72">
        <f t="shared" si="0"/>
        <v>3</v>
      </c>
      <c r="E34" s="72">
        <f>'26. Monitoring and evaluation '!D9</f>
        <v>0</v>
      </c>
      <c r="F34" s="72"/>
      <c r="G34" s="7" t="s">
        <v>48</v>
      </c>
    </row>
    <row r="35" spans="1:12">
      <c r="A35" t="b">
        <v>0</v>
      </c>
      <c r="B35" s="11">
        <v>27</v>
      </c>
      <c r="C35" s="105" t="s">
        <v>29</v>
      </c>
      <c r="D35" s="72">
        <f t="shared" si="0"/>
        <v>3</v>
      </c>
      <c r="E35" s="72">
        <f>'27. Visitor facilities '!D9</f>
        <v>0</v>
      </c>
      <c r="F35" s="72"/>
      <c r="G35" s="7" t="s">
        <v>48</v>
      </c>
    </row>
    <row r="36" spans="1:12">
      <c r="A36" t="b">
        <v>0</v>
      </c>
      <c r="B36" s="11">
        <v>28</v>
      </c>
      <c r="C36" s="105" t="s">
        <v>30</v>
      </c>
      <c r="D36" s="72">
        <f t="shared" si="0"/>
        <v>3</v>
      </c>
      <c r="E36" s="72">
        <f>'28. Commercial tourism op.'!D9</f>
        <v>0</v>
      </c>
      <c r="F36" s="72"/>
      <c r="G36" s="7" t="s">
        <v>47</v>
      </c>
    </row>
    <row r="37" spans="1:12" ht="31.2">
      <c r="A37" t="b">
        <v>0</v>
      </c>
      <c r="B37" s="11">
        <v>29</v>
      </c>
      <c r="C37" s="105" t="s">
        <v>31</v>
      </c>
      <c r="D37" s="72">
        <f t="shared" si="0"/>
        <v>3</v>
      </c>
      <c r="E37" s="72">
        <f>'29. Fees'!D9</f>
        <v>0</v>
      </c>
      <c r="F37" s="72"/>
      <c r="G37" s="7" t="s">
        <v>42</v>
      </c>
    </row>
    <row r="38" spans="1:12" ht="31.2">
      <c r="A38" t="b">
        <v>0</v>
      </c>
      <c r="B38" s="11">
        <v>30</v>
      </c>
      <c r="C38" s="105" t="s">
        <v>32</v>
      </c>
      <c r="D38" s="72">
        <f t="shared" si="0"/>
        <v>3</v>
      </c>
      <c r="E38" s="72">
        <f>'30. Condition of values'!D9</f>
        <v>0</v>
      </c>
      <c r="F38" s="72"/>
      <c r="G38" s="7" t="s">
        <v>49</v>
      </c>
    </row>
    <row r="39" spans="1:12">
      <c r="A39" t="b">
        <v>0</v>
      </c>
      <c r="B39" s="11" t="s">
        <v>38</v>
      </c>
      <c r="C39" s="105" t="s">
        <v>139</v>
      </c>
      <c r="D39" s="72">
        <f t="shared" si="0"/>
        <v>3</v>
      </c>
      <c r="E39" s="72">
        <f>'Additional points on 30.'!D7</f>
        <v>0</v>
      </c>
      <c r="F39" s="72"/>
      <c r="G39" s="7" t="s">
        <v>49</v>
      </c>
    </row>
    <row r="40" spans="1:12">
      <c r="A40" t="b">
        <v>0</v>
      </c>
      <c r="B40" s="11">
        <v>31</v>
      </c>
      <c r="C40" s="105" t="s">
        <v>302</v>
      </c>
      <c r="D40" s="72">
        <f t="shared" si="0"/>
        <v>3</v>
      </c>
      <c r="E40" s="72">
        <f>'31. Staff security'!D9</f>
        <v>0</v>
      </c>
      <c r="F40" s="72"/>
      <c r="G40" s="7" t="s">
        <v>47</v>
      </c>
    </row>
    <row r="41" spans="1:12" ht="16" customHeight="1">
      <c r="A41" t="b">
        <v>0</v>
      </c>
      <c r="B41" s="59">
        <v>32</v>
      </c>
      <c r="C41" s="105" t="s">
        <v>208</v>
      </c>
      <c r="D41" s="72">
        <f t="shared" si="0"/>
        <v>3</v>
      </c>
      <c r="E41" s="72">
        <f>'32. Climate change'!D9</f>
        <v>0</v>
      </c>
      <c r="F41" s="72"/>
      <c r="G41" s="7" t="s">
        <v>47</v>
      </c>
    </row>
    <row r="42" spans="1:12" ht="37" customHeight="1">
      <c r="A42" t="b">
        <v>0</v>
      </c>
      <c r="B42" s="59">
        <v>33</v>
      </c>
      <c r="C42" s="109" t="s">
        <v>224</v>
      </c>
      <c r="D42" s="72">
        <f t="shared" si="0"/>
        <v>3</v>
      </c>
      <c r="E42" s="209">
        <f>'33. Carbon capture'!D9</f>
        <v>0</v>
      </c>
      <c r="F42" s="72"/>
      <c r="G42" s="7" t="s">
        <v>47</v>
      </c>
    </row>
    <row r="43" spans="1:12" ht="31.2">
      <c r="A43" t="b">
        <v>0</v>
      </c>
      <c r="B43" s="59">
        <v>34</v>
      </c>
      <c r="C43" s="105" t="s">
        <v>222</v>
      </c>
      <c r="D43" s="72">
        <f t="shared" si="0"/>
        <v>3</v>
      </c>
      <c r="E43" s="72">
        <f>'34. Threats'!D9</f>
        <v>0</v>
      </c>
      <c r="F43" s="72"/>
      <c r="G43" s="7" t="s">
        <v>48</v>
      </c>
    </row>
    <row r="44" spans="1:12">
      <c r="A44" t="b">
        <v>0</v>
      </c>
      <c r="B44" s="59">
        <v>35</v>
      </c>
      <c r="C44" s="105" t="s">
        <v>133</v>
      </c>
      <c r="D44" s="72">
        <f t="shared" si="0"/>
        <v>3</v>
      </c>
      <c r="E44" s="72">
        <f>'35. Conserve status key ind spe'!D9</f>
        <v>0</v>
      </c>
      <c r="F44" s="72"/>
      <c r="G44" s="7" t="s">
        <v>49</v>
      </c>
    </row>
    <row r="45" spans="1:12">
      <c r="A45" t="b">
        <v>0</v>
      </c>
      <c r="B45" s="59">
        <v>36</v>
      </c>
      <c r="C45" s="105" t="s">
        <v>194</v>
      </c>
      <c r="D45" s="72">
        <f t="shared" si="0"/>
        <v>3</v>
      </c>
      <c r="E45" s="72">
        <f>'36.Conservation status habitats'!D9</f>
        <v>0</v>
      </c>
      <c r="F45" s="72"/>
      <c r="G45" s="7" t="s">
        <v>49</v>
      </c>
      <c r="I45" s="10"/>
      <c r="J45" s="10"/>
      <c r="K45" s="10"/>
      <c r="L45" s="10"/>
    </row>
    <row r="46" spans="1:12" s="10" customFormat="1">
      <c r="B46" s="8"/>
      <c r="C46" s="106" t="s">
        <v>41</v>
      </c>
      <c r="D46" s="210">
        <f>SUM(D6:D45)</f>
        <v>120</v>
      </c>
      <c r="E46" s="210">
        <f>SUM(E6:E45)</f>
        <v>0</v>
      </c>
      <c r="F46" s="210">
        <f>SUM(F6:F45)</f>
        <v>0</v>
      </c>
      <c r="G46" s="9"/>
      <c r="I46"/>
      <c r="J46"/>
      <c r="K46"/>
      <c r="L46"/>
    </row>
  </sheetData>
  <mergeCells count="2">
    <mergeCell ref="I3:N3"/>
    <mergeCell ref="B1:G1"/>
  </mergeCells>
  <phoneticPr fontId="17" type="noConversion"/>
  <hyperlinks>
    <hyperlink ref="C6" location="'1. Legal Status'!A1" display="Does the PA have legal status (or in the case of private reserves is covered by a covenant or similar)?" xr:uid="{00000000-0004-0000-0200-000000000000}"/>
    <hyperlink ref="C7" location="'2. Protected area regulations'!A1" display="Are appropriate regulations in place to control land use and activities (such as hunting)?" xr:uid="{00000000-0004-0000-0200-000001000000}"/>
    <hyperlink ref="C8" location="'3. Law enforcement'!A1" display="Can staff enforce protected area rules well enough? (Staff = those with responsibility for managing the site) " xr:uid="{00000000-0004-0000-0200-000002000000}"/>
    <hyperlink ref="C9" location="'4. Protected area objectives'!A1" display="Is management undertaken according to agreed objectives?" xr:uid="{00000000-0004-0000-0200-000003000000}"/>
    <hyperlink ref="C10" location="'5. Protected area design'!A1" display="Is the protected area the right size and shape to protect species, habitats, ecological processes and water catchments of key conservation concern?" xr:uid="{00000000-0004-0000-0200-000004000000}"/>
    <hyperlink ref="C11" location="'6. Boundary demarcation'!A1" display="Is the boundary known and demarcated?" xr:uid="{00000000-0004-0000-0200-000005000000}"/>
    <hyperlink ref="C12" location="'7. Management plan'!A1" display="Is there a management plan and is it being implemented?" xr:uid="{00000000-0004-0000-0200-000006000000}"/>
    <hyperlink ref="C13" location="'Additional points on 7.'!A1" display="Additional points: Planning process" xr:uid="{00000000-0004-0000-0200-000007000000}"/>
    <hyperlink ref="C14" location="'8. Regular work plan'!A1" display="Is there a regular work plan and is it being implemented?" xr:uid="{00000000-0004-0000-0200-000008000000}"/>
    <hyperlink ref="C15" location="'9. Resource inventory'!A1" display="Do you have enough information to manage the area?" xr:uid="{00000000-0004-0000-0200-000009000000}"/>
    <hyperlink ref="C16" location="'10. Protection systems'!A1" display="Is access / resource use sufficiently controlled in accordance with designated objectives?" xr:uid="{00000000-0004-0000-0200-00000A000000}"/>
    <hyperlink ref="C17" location="'11. Research '!A1" display="Is there a programme of management-orientated survey and research work?" xr:uid="{00000000-0004-0000-0200-00000B000000}"/>
    <hyperlink ref="C18" location="'12. Resource management '!A1" display="Is active resource management being undertaken?" xr:uid="{00000000-0004-0000-0200-00000C000000}"/>
    <hyperlink ref="C19" location="'13. Staff numbers'!A1" display="Are there enough people employed to manage the protected area?" xr:uid="{00000000-0004-0000-0200-00000D000000}"/>
    <hyperlink ref="C20" location="'14. Staff training'!A1" display="Are staff adequately trained to fulfil management objectives?" xr:uid="{00000000-0004-0000-0200-00000E000000}"/>
    <hyperlink ref="C21" location="'15. Current budget'!A1" display="Is the current budget sufficient?" xr:uid="{00000000-0004-0000-0200-00000F000000}"/>
    <hyperlink ref="C22" location="'16. Security of budget '!A1" display="Is the budget secure?" xr:uid="{00000000-0004-0000-0200-000010000000}"/>
    <hyperlink ref="C23" location="'17. Management of budget '!A1" display="Is the budget managed to meet critical management needs?" xr:uid="{00000000-0004-0000-0200-000011000000}"/>
    <hyperlink ref="C24" location="'18. Equipment and facilities'!A1" display="Is equipment sufficient for management needs?" xr:uid="{00000000-0004-0000-0200-000012000000}"/>
    <hyperlink ref="C25" location="'19. Maintaining equip. + facil.'!A1" display="Is equipment adequately maintained?" xr:uid="{00000000-0004-0000-0200-000013000000}"/>
    <hyperlink ref="C26" location="'20. Education and awareness '!A1" display="Is there a planned education programme linked to the objectives and needs?" xr:uid="{00000000-0004-0000-0200-000014000000}"/>
    <hyperlink ref="C27" location="'21. Planning for land and water'!A1" display="Does land and water use planning (happening outside the protected area) recognise the protected area and aid the achievement of objectives?" xr:uid="{00000000-0004-0000-0200-000015000000}"/>
    <hyperlink ref="C28" location="'Additional points on 21.'!A1" display="Additional points: Land and water planning " xr:uid="{00000000-0004-0000-0200-000016000000}"/>
    <hyperlink ref="C29" location="'22. State and commercial neigh.'!A1" display="Is there co-operation with adjacent land and water users? " xr:uid="{00000000-0004-0000-0200-000017000000}"/>
    <hyperlink ref="C30" location="'23. Indigenous people'!A1" display="Do indigenous and traditional peoples resident or regularly using the protected area have input to management decisions?" xr:uid="{00000000-0004-0000-0200-000018000000}"/>
    <hyperlink ref="C31" location="'24. Local communities '!A1" display="Do local communities resident or near the protected area have input to management decisions?" xr:uid="{00000000-0004-0000-0200-000019000000}"/>
    <hyperlink ref="C32" location="'Additional points on 24.'!A1" display="Additional points: Local communities / indigenous people" xr:uid="{00000000-0004-0000-0200-00001A000000}"/>
    <hyperlink ref="C33" location="'25. Economic benefit '!A1" display="Is the protected area providing economic benefits to local communities, e.g. income, employment, payment for environmental services?" xr:uid="{00000000-0004-0000-0200-00001B000000}"/>
    <hyperlink ref="C34" location="'26. Monitoring and evaluation '!A1" display="Are management activities monitored against performance?" xr:uid="{00000000-0004-0000-0200-00001C000000}"/>
    <hyperlink ref="C41" location="'32. Climate change'!A1" display=" Is the protected area consciously managed to adapt to climate change?" xr:uid="{00000000-0004-0000-0200-00001D000000}"/>
    <hyperlink ref="C35" location="'27. Visitor facilities '!A1" display="Are visitor facilities adequate?" xr:uid="{00000000-0004-0000-0200-00001E000000}"/>
    <hyperlink ref="C36" location="'28. Commercial tourism op.'!A1" display="Do commercial tour operators contribute to protected area management?" xr:uid="{00000000-0004-0000-0200-00001F000000}"/>
    <hyperlink ref="C37" location="'29. Fees'!A1" display="If fees (such as entry fees or fines) are applied, do they help protected area management?" xr:uid="{00000000-0004-0000-0200-000020000000}"/>
    <hyperlink ref="C43" location="'34. Threats'!A1" display="Are the threats to the main values of the protected area identified, classified and addressed? " xr:uid="{00000000-0004-0000-0200-000021000000}"/>
    <hyperlink ref="C38" location="'30. Condition of values'!A1" display="What is the condition of the important values of the protected area as compared to when it was first designated?" xr:uid="{00000000-0004-0000-0200-000022000000}"/>
    <hyperlink ref="C39" location="'30. Condition of values'!A1" display="Additional points: Condition assessment" xr:uid="{00000000-0004-0000-0200-000023000000}"/>
    <hyperlink ref="C44" location="'35. Conserve status key ind spe'!A1" display="Has the status of key indicator species changed over the last 5 years?" xr:uid="{00000000-0004-0000-0200-000024000000}"/>
    <hyperlink ref="C45" location="'36.Conservation status habitats'!A1" display="Has the status of habitats changed over the last 5 years?" xr:uid="{00000000-0004-0000-0200-000025000000}"/>
    <hyperlink ref="C42" location="'33. Carbon capture'!A1" display="Is the protected area being consciously managed to prevent carbon loss and to encourage further carbon capture?" xr:uid="{0590CD80-93B5-49E1-BDD2-9746E40FFDED}"/>
    <hyperlink ref="C40" location="'31. Staff security'!A1" display="Staff Security" xr:uid="{3A9115F9-DE60-441F-A941-94A3C49D9188}"/>
  </hyperlinks>
  <pageMargins left="0.7" right="0.7" top="0.75" bottom="0.75" header="0.3" footer="0.3"/>
  <pageSetup paperSize="9" orientation="portrait" horizontalDpi="0" verticalDpi="0"/>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7B0C0D7-00DE-4875-BAF2-678AF1E695CC}">
          <x14:formula1>
            <xm:f>'Data lookups'!$C$2:$C$33</xm:f>
          </x14:formula1>
          <xm:sqref>E3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64"/>
  <sheetViews>
    <sheetView showGridLines="0" topLeftCell="A52" zoomScale="80" zoomScaleNormal="80" zoomScalePageLayoutView="120" workbookViewId="0">
      <selection activeCell="C60" sqref="C60"/>
    </sheetView>
  </sheetViews>
  <sheetFormatPr defaultColWidth="10.84765625" defaultRowHeight="15.6"/>
  <cols>
    <col min="1" max="1" width="45.59765625" style="44" customWidth="1"/>
    <col min="2" max="2" width="45.34765625" style="20" customWidth="1"/>
    <col min="3" max="3" width="84.84765625" style="20" customWidth="1"/>
    <col min="4" max="16384" width="10.84765625" style="27"/>
  </cols>
  <sheetData>
    <row r="1" spans="1:3" ht="20.399999999999999">
      <c r="A1" s="230" t="s">
        <v>68</v>
      </c>
      <c r="B1" s="230"/>
      <c r="C1" s="230"/>
    </row>
    <row r="3" spans="1:3" ht="31.2">
      <c r="A3" s="28" t="s">
        <v>59</v>
      </c>
      <c r="B3" s="31" t="s">
        <v>175</v>
      </c>
      <c r="C3" s="21" t="s">
        <v>174</v>
      </c>
    </row>
    <row r="4" spans="1:3" ht="40.15" customHeight="1">
      <c r="A4" s="38" t="s">
        <v>333</v>
      </c>
      <c r="B4" s="179"/>
      <c r="C4" s="24"/>
    </row>
    <row r="5" spans="1:3" ht="36.6" customHeight="1">
      <c r="A5" s="38" t="s">
        <v>334</v>
      </c>
      <c r="B5" s="180"/>
      <c r="C5" s="23" t="s">
        <v>61</v>
      </c>
    </row>
    <row r="6" spans="1:3" ht="31.2">
      <c r="A6" s="38" t="s">
        <v>335</v>
      </c>
      <c r="B6" s="180"/>
      <c r="C6" s="25" t="s">
        <v>81</v>
      </c>
    </row>
    <row r="7" spans="1:3" ht="38.5" customHeight="1">
      <c r="A7" s="37" t="s">
        <v>336</v>
      </c>
      <c r="B7" s="180"/>
      <c r="C7" s="231" t="s">
        <v>82</v>
      </c>
    </row>
    <row r="8" spans="1:3" ht="16" customHeight="1">
      <c r="A8" s="30" t="s">
        <v>77</v>
      </c>
      <c r="B8" s="180"/>
      <c r="C8" s="232"/>
    </row>
    <row r="9" spans="1:3">
      <c r="A9" s="30" t="s">
        <v>73</v>
      </c>
      <c r="B9" s="180"/>
      <c r="C9" s="232"/>
    </row>
    <row r="10" spans="1:3">
      <c r="A10" s="30" t="s">
        <v>74</v>
      </c>
      <c r="B10" s="180"/>
      <c r="C10" s="232"/>
    </row>
    <row r="11" spans="1:3">
      <c r="A11" s="30" t="s">
        <v>75</v>
      </c>
      <c r="B11" s="180"/>
      <c r="C11" s="232"/>
    </row>
    <row r="12" spans="1:3">
      <c r="A12" s="30" t="s">
        <v>80</v>
      </c>
      <c r="B12" s="180"/>
      <c r="C12" s="232"/>
    </row>
    <row r="13" spans="1:3">
      <c r="A13" s="30" t="s">
        <v>76</v>
      </c>
      <c r="B13" s="180"/>
      <c r="C13" s="232"/>
    </row>
    <row r="14" spans="1:3" ht="31.2">
      <c r="A14" s="30" t="s">
        <v>78</v>
      </c>
      <c r="B14" s="180"/>
      <c r="C14" s="233"/>
    </row>
    <row r="15" spans="1:3" ht="45" customHeight="1">
      <c r="A15" s="42" t="s">
        <v>337</v>
      </c>
      <c r="B15" s="180"/>
      <c r="C15" s="26" t="s">
        <v>94</v>
      </c>
    </row>
    <row r="16" spans="1:3" ht="34.9" customHeight="1">
      <c r="A16" s="48" t="s">
        <v>338</v>
      </c>
      <c r="B16" s="181"/>
      <c r="C16" s="26" t="s">
        <v>92</v>
      </c>
    </row>
    <row r="17" spans="1:3" ht="48" customHeight="1">
      <c r="A17" s="49"/>
      <c r="B17" s="181"/>
      <c r="C17" s="24" t="s">
        <v>339</v>
      </c>
    </row>
    <row r="18" spans="1:3" ht="48" customHeight="1">
      <c r="A18" s="49"/>
      <c r="B18" s="181"/>
      <c r="C18" s="24" t="s">
        <v>340</v>
      </c>
    </row>
    <row r="19" spans="1:3" ht="36.6" customHeight="1">
      <c r="A19" s="50" t="s">
        <v>341</v>
      </c>
      <c r="B19" s="182"/>
      <c r="C19" s="26" t="s">
        <v>70</v>
      </c>
    </row>
    <row r="20" spans="1:3" ht="49" customHeight="1">
      <c r="A20" s="47"/>
      <c r="B20" s="182"/>
      <c r="C20" s="24" t="s">
        <v>342</v>
      </c>
    </row>
    <row r="21" spans="1:3" ht="31.2">
      <c r="A21" s="234" t="s">
        <v>83</v>
      </c>
      <c r="B21" s="183"/>
      <c r="C21" s="24" t="s">
        <v>91</v>
      </c>
    </row>
    <row r="22" spans="1:3" ht="48" customHeight="1">
      <c r="A22" s="235"/>
      <c r="B22" s="183"/>
      <c r="C22" s="24" t="s">
        <v>96</v>
      </c>
    </row>
    <row r="23" spans="1:3" ht="46.8">
      <c r="A23" s="236"/>
      <c r="B23" s="183"/>
      <c r="C23" s="24" t="s">
        <v>95</v>
      </c>
    </row>
    <row r="24" spans="1:3">
      <c r="A24" s="29" t="s">
        <v>179</v>
      </c>
      <c r="B24" s="183"/>
      <c r="C24" s="26" t="s">
        <v>71</v>
      </c>
    </row>
    <row r="25" spans="1:3">
      <c r="A25" s="29" t="s">
        <v>84</v>
      </c>
      <c r="B25" s="183"/>
      <c r="C25" s="24" t="s">
        <v>201</v>
      </c>
    </row>
    <row r="26" spans="1:3">
      <c r="A26" s="29" t="s">
        <v>85</v>
      </c>
      <c r="B26" s="183"/>
      <c r="C26" s="26" t="s">
        <v>72</v>
      </c>
    </row>
    <row r="27" spans="1:3">
      <c r="A27" s="38" t="s">
        <v>54</v>
      </c>
      <c r="B27" s="183"/>
      <c r="C27" s="24"/>
    </row>
    <row r="28" spans="1:3">
      <c r="A28" s="38" t="s">
        <v>86</v>
      </c>
      <c r="B28" s="179"/>
      <c r="C28" s="24" t="s">
        <v>87</v>
      </c>
    </row>
    <row r="29" spans="1:3" ht="162" customHeight="1">
      <c r="A29" s="38" t="s">
        <v>60</v>
      </c>
      <c r="B29" s="183"/>
      <c r="C29" s="46" t="s">
        <v>645</v>
      </c>
    </row>
    <row r="30" spans="1:3">
      <c r="A30" s="37" t="s">
        <v>176</v>
      </c>
      <c r="B30" s="184"/>
      <c r="C30" s="32"/>
    </row>
    <row r="31" spans="1:3" ht="16" customHeight="1">
      <c r="A31" s="30" t="s">
        <v>79</v>
      </c>
      <c r="B31" s="184"/>
      <c r="C31" s="40"/>
    </row>
    <row r="32" spans="1:3">
      <c r="A32" s="30" t="s">
        <v>55</v>
      </c>
      <c r="B32" s="184"/>
      <c r="C32" s="33"/>
    </row>
    <row r="33" spans="1:3">
      <c r="A33" s="30" t="s">
        <v>56</v>
      </c>
      <c r="B33" s="184"/>
      <c r="C33" s="33"/>
    </row>
    <row r="34" spans="1:3">
      <c r="A34" s="30" t="s">
        <v>57</v>
      </c>
      <c r="B34" s="184"/>
      <c r="C34" s="34"/>
    </row>
    <row r="35" spans="1:3">
      <c r="A35" s="38" t="s">
        <v>58</v>
      </c>
      <c r="B35" s="183"/>
      <c r="C35" s="39"/>
    </row>
    <row r="36" spans="1:3">
      <c r="A36" s="38" t="s">
        <v>343</v>
      </c>
      <c r="B36" s="183"/>
      <c r="C36" s="41"/>
    </row>
    <row r="37" spans="1:3">
      <c r="A37" s="43" t="s">
        <v>344</v>
      </c>
      <c r="B37" s="184"/>
      <c r="C37" s="41"/>
    </row>
    <row r="38" spans="1:3">
      <c r="A38" s="29" t="s">
        <v>345</v>
      </c>
      <c r="B38" s="184"/>
      <c r="C38" s="33"/>
    </row>
    <row r="39" spans="1:3" ht="31.2">
      <c r="A39" s="29" t="s">
        <v>346</v>
      </c>
      <c r="B39" s="184"/>
      <c r="C39" s="34"/>
    </row>
    <row r="40" spans="1:3">
      <c r="A40" s="38" t="s">
        <v>347</v>
      </c>
      <c r="B40" s="183"/>
      <c r="C40" s="45" t="s">
        <v>643</v>
      </c>
    </row>
    <row r="41" spans="1:3">
      <c r="A41" s="222" t="s">
        <v>348</v>
      </c>
      <c r="B41" s="183"/>
      <c r="C41" s="24" t="s">
        <v>644</v>
      </c>
    </row>
    <row r="42" spans="1:3">
      <c r="A42" s="222" t="s">
        <v>349</v>
      </c>
      <c r="B42" s="183"/>
      <c r="C42" s="24" t="s">
        <v>644</v>
      </c>
    </row>
    <row r="43" spans="1:3" ht="31.2">
      <c r="A43" s="38" t="s">
        <v>267</v>
      </c>
      <c r="B43" s="183"/>
      <c r="C43" s="23" t="s">
        <v>177</v>
      </c>
    </row>
    <row r="44" spans="1:3" ht="69.599999999999994" customHeight="1">
      <c r="A44" s="38" t="s">
        <v>350</v>
      </c>
      <c r="B44" s="183"/>
      <c r="C44" s="237" t="s">
        <v>103</v>
      </c>
    </row>
    <row r="45" spans="1:3">
      <c r="A45" s="29" t="s">
        <v>98</v>
      </c>
      <c r="B45" s="183"/>
      <c r="C45" s="238"/>
    </row>
    <row r="46" spans="1:3">
      <c r="A46" s="29" t="s">
        <v>99</v>
      </c>
      <c r="B46" s="183"/>
      <c r="C46" s="238"/>
    </row>
    <row r="47" spans="1:3">
      <c r="A47" s="29" t="s">
        <v>100</v>
      </c>
      <c r="B47" s="183"/>
      <c r="C47" s="238"/>
    </row>
    <row r="48" spans="1:3">
      <c r="A48" s="29" t="s">
        <v>101</v>
      </c>
      <c r="B48" s="183"/>
      <c r="C48" s="238"/>
    </row>
    <row r="49" spans="1:3">
      <c r="A49" s="29" t="s">
        <v>102</v>
      </c>
      <c r="B49" s="183"/>
      <c r="C49" s="239"/>
    </row>
    <row r="50" spans="1:3" ht="78">
      <c r="A50" s="38" t="s">
        <v>351</v>
      </c>
      <c r="B50" s="183"/>
      <c r="C50" s="41" t="s">
        <v>93</v>
      </c>
    </row>
    <row r="51" spans="1:3" ht="48" customHeight="1">
      <c r="A51" s="29" t="s">
        <v>352</v>
      </c>
      <c r="B51" s="184"/>
      <c r="C51" s="41"/>
    </row>
    <row r="52" spans="1:3" ht="48" customHeight="1">
      <c r="A52" s="29" t="s">
        <v>353</v>
      </c>
      <c r="B52" s="184"/>
      <c r="C52" s="45"/>
    </row>
    <row r="53" spans="1:3">
      <c r="A53" s="38" t="s">
        <v>88</v>
      </c>
      <c r="B53" s="184"/>
      <c r="C53" s="23" t="s">
        <v>89</v>
      </c>
    </row>
    <row r="54" spans="1:3">
      <c r="A54" s="29" t="s">
        <v>178</v>
      </c>
      <c r="B54" s="184"/>
      <c r="C54" s="35" t="s">
        <v>90</v>
      </c>
    </row>
    <row r="55" spans="1:3">
      <c r="A55" s="29" t="s">
        <v>62</v>
      </c>
      <c r="B55" s="184"/>
      <c r="C55" s="33"/>
    </row>
    <row r="56" spans="1:3">
      <c r="A56" s="29" t="s">
        <v>63</v>
      </c>
      <c r="B56" s="184"/>
      <c r="C56" s="33"/>
    </row>
    <row r="57" spans="1:3">
      <c r="A57" s="29" t="s">
        <v>64</v>
      </c>
      <c r="B57" s="184"/>
      <c r="C57" s="33"/>
    </row>
    <row r="58" spans="1:3">
      <c r="A58" s="29" t="s">
        <v>65</v>
      </c>
      <c r="B58" s="184"/>
      <c r="C58" s="33"/>
    </row>
    <row r="59" spans="1:3">
      <c r="A59" s="29" t="s">
        <v>66</v>
      </c>
      <c r="B59" s="184"/>
      <c r="C59" s="33"/>
    </row>
    <row r="60" spans="1:3">
      <c r="A60" s="29" t="s">
        <v>67</v>
      </c>
      <c r="B60" s="184"/>
      <c r="C60" s="33"/>
    </row>
    <row r="61" spans="1:3">
      <c r="A61" s="29" t="s">
        <v>57</v>
      </c>
      <c r="B61" s="184"/>
      <c r="C61" s="36"/>
    </row>
    <row r="62" spans="1:3" ht="46.8">
      <c r="A62" s="38" t="s">
        <v>205</v>
      </c>
      <c r="B62" s="185"/>
      <c r="C62" s="36"/>
    </row>
    <row r="63" spans="1:3" ht="31.2">
      <c r="A63" s="38" t="s">
        <v>354</v>
      </c>
      <c r="B63" s="179"/>
      <c r="C63" s="22"/>
    </row>
    <row r="64" spans="1:3">
      <c r="A64" s="38" t="s">
        <v>355</v>
      </c>
      <c r="B64" s="179"/>
      <c r="C64" s="23" t="s">
        <v>69</v>
      </c>
    </row>
  </sheetData>
  <mergeCells count="4">
    <mergeCell ref="A1:C1"/>
    <mergeCell ref="C7:C14"/>
    <mergeCell ref="A21:A23"/>
    <mergeCell ref="C44:C49"/>
  </mergeCells>
  <phoneticPr fontId="17" type="noConversion"/>
  <pageMargins left="0.7" right="0.7" top="0.75" bottom="0.75" header="0.3" footer="0.3"/>
  <pageSetup paperSize="9" scale="46" orientation="portrait" horizontalDpi="0" verticalDpi="0"/>
  <colBreaks count="1" manualBreakCount="1">
    <brk id="3" max="1048575" man="1"/>
  </colBreaks>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6"/>
  <dimension ref="A1:I154"/>
  <sheetViews>
    <sheetView showGridLines="0" workbookViewId="0">
      <pane ySplit="1" topLeftCell="A60" activePane="bottomLeft" state="frozen"/>
      <selection pane="bottomLeft" activeCell="B62" sqref="B62"/>
    </sheetView>
  </sheetViews>
  <sheetFormatPr defaultColWidth="11" defaultRowHeight="15.6"/>
  <cols>
    <col min="1" max="2" width="26.59765625" customWidth="1"/>
    <col min="3" max="3" width="26.59765625" style="70" customWidth="1"/>
    <col min="4" max="9" width="26.59765625" customWidth="1"/>
  </cols>
  <sheetData>
    <row r="1" spans="1:9" s="1" customFormat="1" ht="62.4">
      <c r="A1" s="107" t="s">
        <v>109</v>
      </c>
      <c r="B1" s="12" t="s">
        <v>110</v>
      </c>
      <c r="C1" s="107" t="s">
        <v>232</v>
      </c>
      <c r="D1" s="107" t="s">
        <v>231</v>
      </c>
      <c r="E1" s="107" t="s">
        <v>111</v>
      </c>
      <c r="F1" s="107" t="s">
        <v>112</v>
      </c>
      <c r="G1" s="107" t="s">
        <v>113</v>
      </c>
      <c r="H1" s="107" t="s">
        <v>114</v>
      </c>
      <c r="I1" s="107" t="s">
        <v>115</v>
      </c>
    </row>
    <row r="2" spans="1:9" ht="25.8">
      <c r="A2" s="127" t="s">
        <v>363</v>
      </c>
      <c r="B2" s="128" t="s">
        <v>364</v>
      </c>
      <c r="C2" s="168"/>
      <c r="D2" s="169"/>
      <c r="E2" s="170"/>
      <c r="F2" s="169"/>
      <c r="G2" s="171"/>
      <c r="H2" s="172"/>
      <c r="I2" s="172"/>
    </row>
    <row r="3" spans="1:9" ht="103.9" customHeight="1">
      <c r="A3" s="240" t="s">
        <v>365</v>
      </c>
      <c r="B3" s="128" t="s">
        <v>366</v>
      </c>
      <c r="C3" s="173"/>
      <c r="D3" s="169"/>
      <c r="E3" s="170"/>
      <c r="F3" s="169"/>
      <c r="G3" s="171"/>
      <c r="H3" s="171"/>
      <c r="I3" s="171"/>
    </row>
    <row r="4" spans="1:9">
      <c r="A4" s="241"/>
      <c r="B4" s="128" t="s">
        <v>367</v>
      </c>
      <c r="C4" s="173"/>
      <c r="D4" s="169"/>
      <c r="E4" s="170"/>
      <c r="F4" s="169"/>
      <c r="G4" s="171"/>
      <c r="H4" s="171"/>
      <c r="I4" s="171"/>
    </row>
    <row r="5" spans="1:9" ht="59.65" customHeight="1">
      <c r="A5" s="127" t="s">
        <v>368</v>
      </c>
      <c r="B5" s="128" t="s">
        <v>622</v>
      </c>
      <c r="C5" s="173"/>
      <c r="D5" s="169"/>
      <c r="E5" s="170"/>
      <c r="F5" s="169"/>
      <c r="G5" s="171"/>
      <c r="H5" s="171"/>
      <c r="I5" s="171"/>
    </row>
    <row r="6" spans="1:9" ht="31.9" customHeight="1">
      <c r="A6" s="240" t="s">
        <v>369</v>
      </c>
      <c r="B6" s="128" t="s">
        <v>370</v>
      </c>
      <c r="C6" s="174"/>
      <c r="D6" s="175"/>
      <c r="E6" s="176"/>
      <c r="F6" s="175"/>
      <c r="G6" s="171"/>
      <c r="H6" s="171"/>
      <c r="I6" s="171"/>
    </row>
    <row r="7" spans="1:9" ht="29.5" customHeight="1">
      <c r="A7" s="242"/>
      <c r="B7" s="128" t="s">
        <v>371</v>
      </c>
      <c r="C7" s="174"/>
      <c r="D7" s="175"/>
      <c r="E7" s="176"/>
      <c r="F7" s="175"/>
      <c r="G7" s="171"/>
      <c r="H7" s="171"/>
      <c r="I7" s="171"/>
    </row>
    <row r="8" spans="1:9" ht="44.5" customHeight="1">
      <c r="A8" s="242"/>
      <c r="B8" s="128" t="s">
        <v>372</v>
      </c>
      <c r="C8" s="174"/>
      <c r="D8" s="175"/>
      <c r="E8" s="176"/>
      <c r="F8" s="175"/>
      <c r="G8" s="171"/>
      <c r="H8" s="171"/>
      <c r="I8" s="171"/>
    </row>
    <row r="9" spans="1:9" ht="31.9" customHeight="1">
      <c r="A9" s="241"/>
      <c r="B9" s="128" t="s">
        <v>373</v>
      </c>
      <c r="C9" s="174"/>
      <c r="D9" s="175"/>
      <c r="E9" s="176"/>
      <c r="F9" s="175"/>
      <c r="G9" s="171"/>
      <c r="H9" s="171"/>
      <c r="I9" s="171"/>
    </row>
    <row r="10" spans="1:9" ht="43" customHeight="1">
      <c r="A10" s="127" t="s">
        <v>374</v>
      </c>
      <c r="B10" s="128" t="s">
        <v>375</v>
      </c>
      <c r="C10" s="174"/>
      <c r="D10" s="175"/>
      <c r="E10" s="176"/>
      <c r="F10" s="175"/>
      <c r="G10" s="171"/>
      <c r="H10" s="171"/>
      <c r="I10" s="171"/>
    </row>
    <row r="11" spans="1:9" ht="51.6" customHeight="1">
      <c r="A11" s="243" t="s">
        <v>376</v>
      </c>
      <c r="B11" s="128" t="s">
        <v>623</v>
      </c>
      <c r="C11" s="174"/>
      <c r="D11" s="175"/>
      <c r="E11" s="176"/>
      <c r="F11" s="175"/>
      <c r="G11" s="171"/>
      <c r="H11" s="171"/>
      <c r="I11" s="171"/>
    </row>
    <row r="12" spans="1:9" ht="38.700000000000003">
      <c r="A12" s="244"/>
      <c r="B12" s="128" t="s">
        <v>377</v>
      </c>
      <c r="C12" s="174"/>
      <c r="D12" s="177"/>
      <c r="E12" s="174"/>
      <c r="F12" s="177"/>
      <c r="G12" s="178"/>
      <c r="H12" s="178"/>
      <c r="I12" s="178"/>
    </row>
    <row r="13" spans="1:9" ht="71.650000000000006" customHeight="1">
      <c r="A13" s="127" t="s">
        <v>378</v>
      </c>
      <c r="B13" s="128" t="s">
        <v>379</v>
      </c>
      <c r="C13" s="174"/>
      <c r="D13" s="177"/>
      <c r="E13" s="174"/>
      <c r="F13" s="177"/>
      <c r="G13" s="178"/>
      <c r="H13" s="178"/>
      <c r="I13" s="178"/>
    </row>
    <row r="14" spans="1:9" ht="67.5" customHeight="1">
      <c r="A14" s="243" t="s">
        <v>380</v>
      </c>
      <c r="B14" s="128" t="s">
        <v>381</v>
      </c>
      <c r="C14" s="174"/>
      <c r="D14" s="177"/>
      <c r="E14" s="174"/>
      <c r="F14" s="177"/>
      <c r="G14" s="178"/>
      <c r="H14" s="178"/>
      <c r="I14" s="178"/>
    </row>
    <row r="15" spans="1:9" ht="54.6" customHeight="1">
      <c r="A15" s="245"/>
      <c r="B15" s="128" t="s">
        <v>382</v>
      </c>
      <c r="C15" s="174"/>
      <c r="D15" s="177"/>
      <c r="E15" s="174"/>
      <c r="F15" s="177"/>
      <c r="G15" s="178"/>
      <c r="H15" s="178"/>
      <c r="I15" s="178"/>
    </row>
    <row r="16" spans="1:9" ht="32.5" customHeight="1">
      <c r="A16" s="244"/>
      <c r="B16" s="128" t="s">
        <v>383</v>
      </c>
      <c r="C16" s="174"/>
      <c r="D16" s="177"/>
      <c r="E16" s="174"/>
      <c r="F16" s="177"/>
      <c r="G16" s="178"/>
      <c r="H16" s="178"/>
      <c r="I16" s="178"/>
    </row>
    <row r="17" spans="1:9" ht="123.4" customHeight="1">
      <c r="A17" s="127" t="s">
        <v>384</v>
      </c>
      <c r="B17" s="128" t="s">
        <v>385</v>
      </c>
      <c r="C17" s="174"/>
      <c r="D17" s="177"/>
      <c r="E17" s="174"/>
      <c r="F17" s="177"/>
      <c r="G17" s="178"/>
      <c r="H17" s="178"/>
      <c r="I17" s="178"/>
    </row>
    <row r="18" spans="1:9" ht="92.5" customHeight="1">
      <c r="A18" s="249" t="s">
        <v>386</v>
      </c>
      <c r="B18" s="128" t="s">
        <v>387</v>
      </c>
      <c r="C18" s="174"/>
      <c r="D18" s="177"/>
      <c r="E18" s="174"/>
      <c r="F18" s="177"/>
      <c r="G18" s="178"/>
      <c r="H18" s="178"/>
      <c r="I18" s="178"/>
    </row>
    <row r="19" spans="1:9" ht="32.65" customHeight="1">
      <c r="A19" s="250"/>
      <c r="B19" s="128" t="s">
        <v>388</v>
      </c>
      <c r="C19" s="174"/>
      <c r="D19" s="177"/>
      <c r="E19" s="174"/>
      <c r="F19" s="177"/>
      <c r="G19" s="178"/>
      <c r="H19" s="178"/>
      <c r="I19" s="178"/>
    </row>
    <row r="20" spans="1:9" ht="71.099999999999994" customHeight="1">
      <c r="A20" s="251"/>
      <c r="B20" s="128" t="s">
        <v>389</v>
      </c>
      <c r="C20" s="174"/>
      <c r="D20" s="177"/>
      <c r="E20" s="174"/>
      <c r="F20" s="177"/>
      <c r="G20" s="178"/>
      <c r="H20" s="178"/>
      <c r="I20" s="178"/>
    </row>
    <row r="21" spans="1:9" ht="46.9" customHeight="1">
      <c r="A21" s="127" t="s">
        <v>390</v>
      </c>
      <c r="B21" s="128" t="s">
        <v>391</v>
      </c>
      <c r="C21" s="174"/>
      <c r="D21" s="177"/>
      <c r="E21" s="174"/>
      <c r="F21" s="177"/>
      <c r="G21" s="178"/>
      <c r="H21" s="178"/>
      <c r="I21" s="178"/>
    </row>
    <row r="22" spans="1:9" ht="47.65" customHeight="1">
      <c r="A22" s="243" t="s">
        <v>392</v>
      </c>
      <c r="B22" s="128" t="s">
        <v>393</v>
      </c>
      <c r="C22" s="174"/>
      <c r="D22" s="177"/>
      <c r="E22" s="174"/>
      <c r="F22" s="177"/>
      <c r="G22" s="178"/>
      <c r="H22" s="178"/>
      <c r="I22" s="178"/>
    </row>
    <row r="23" spans="1:9" ht="44.1" customHeight="1">
      <c r="A23" s="245"/>
      <c r="B23" s="128" t="s">
        <v>394</v>
      </c>
      <c r="C23" s="174"/>
      <c r="D23" s="177"/>
      <c r="E23" s="174"/>
      <c r="F23" s="177"/>
      <c r="G23" s="178"/>
      <c r="H23" s="178"/>
      <c r="I23" s="178"/>
    </row>
    <row r="24" spans="1:9" ht="119.65" customHeight="1">
      <c r="A24" s="245"/>
      <c r="B24" s="128" t="s">
        <v>395</v>
      </c>
      <c r="C24" s="174"/>
      <c r="D24" s="177"/>
      <c r="E24" s="174"/>
      <c r="F24" s="177"/>
      <c r="G24" s="178"/>
      <c r="H24" s="178"/>
      <c r="I24" s="178"/>
    </row>
    <row r="25" spans="1:9" ht="38.700000000000003">
      <c r="A25" s="244"/>
      <c r="B25" s="128" t="s">
        <v>624</v>
      </c>
      <c r="C25" s="174"/>
      <c r="D25" s="177"/>
      <c r="E25" s="174"/>
      <c r="F25" s="177"/>
      <c r="G25" s="178"/>
      <c r="H25" s="178"/>
      <c r="I25" s="178"/>
    </row>
    <row r="26" spans="1:9" ht="25.8">
      <c r="A26" s="141"/>
      <c r="B26" s="128" t="s">
        <v>278</v>
      </c>
      <c r="C26" s="174"/>
      <c r="D26" s="177"/>
      <c r="E26" s="174"/>
      <c r="F26" s="177"/>
      <c r="G26" s="178"/>
      <c r="H26" s="178"/>
      <c r="I26" s="178"/>
    </row>
    <row r="27" spans="1:9" ht="42.6" customHeight="1">
      <c r="A27" s="140" t="s">
        <v>396</v>
      </c>
      <c r="B27" s="128" t="s">
        <v>397</v>
      </c>
      <c r="C27" s="174"/>
      <c r="D27" s="177"/>
      <c r="E27" s="174"/>
      <c r="F27" s="177"/>
      <c r="G27" s="178"/>
      <c r="H27" s="178"/>
      <c r="I27" s="178"/>
    </row>
    <row r="28" spans="1:9" ht="43.9" customHeight="1">
      <c r="A28" s="243" t="s">
        <v>398</v>
      </c>
      <c r="B28" s="128" t="s">
        <v>399</v>
      </c>
      <c r="C28" s="174"/>
      <c r="D28" s="177"/>
      <c r="E28" s="174"/>
      <c r="F28" s="177"/>
      <c r="G28" s="178"/>
      <c r="H28" s="178"/>
      <c r="I28" s="178"/>
    </row>
    <row r="29" spans="1:9" ht="70.5" customHeight="1">
      <c r="A29" s="245"/>
      <c r="B29" s="128" t="s">
        <v>400</v>
      </c>
      <c r="C29" s="174"/>
      <c r="D29" s="177"/>
      <c r="E29" s="174"/>
      <c r="F29" s="177"/>
      <c r="G29" s="178"/>
      <c r="H29" s="178"/>
      <c r="I29" s="178"/>
    </row>
    <row r="30" spans="1:9" ht="43.15" customHeight="1">
      <c r="A30" s="245"/>
      <c r="B30" s="128" t="s">
        <v>401</v>
      </c>
      <c r="C30" s="174"/>
      <c r="D30" s="177"/>
      <c r="E30" s="174"/>
      <c r="F30" s="177"/>
      <c r="G30" s="178"/>
      <c r="H30" s="178"/>
      <c r="I30" s="178"/>
    </row>
    <row r="31" spans="1:9" ht="38.700000000000003">
      <c r="A31" s="245"/>
      <c r="B31" s="128" t="s">
        <v>402</v>
      </c>
      <c r="C31" s="174"/>
      <c r="D31" s="177"/>
      <c r="E31" s="174"/>
      <c r="F31" s="177"/>
      <c r="G31" s="178"/>
      <c r="H31" s="178"/>
      <c r="I31" s="178"/>
    </row>
    <row r="32" spans="1:9" ht="56.65" customHeight="1">
      <c r="A32" s="244"/>
      <c r="B32" s="128" t="s">
        <v>403</v>
      </c>
      <c r="C32" s="174"/>
      <c r="D32" s="177"/>
      <c r="E32" s="174"/>
      <c r="F32" s="177"/>
      <c r="G32" s="178"/>
      <c r="H32" s="178"/>
      <c r="I32" s="178"/>
    </row>
    <row r="33" spans="1:9" ht="70.5" customHeight="1">
      <c r="A33" s="133"/>
      <c r="B33" s="128" t="s">
        <v>404</v>
      </c>
      <c r="C33" s="174"/>
      <c r="D33" s="177"/>
      <c r="E33" s="174"/>
      <c r="F33" s="177"/>
      <c r="G33" s="178"/>
      <c r="H33" s="178"/>
      <c r="I33" s="178"/>
    </row>
    <row r="34" spans="1:9" ht="84" customHeight="1">
      <c r="A34" s="127" t="s">
        <v>405</v>
      </c>
      <c r="B34" s="128" t="s">
        <v>406</v>
      </c>
      <c r="C34" s="174"/>
      <c r="D34" s="177"/>
      <c r="E34" s="174"/>
      <c r="F34" s="177"/>
      <c r="G34" s="178"/>
      <c r="H34" s="178"/>
      <c r="I34" s="178"/>
    </row>
    <row r="35" spans="1:9" ht="25.8">
      <c r="A35" s="133"/>
      <c r="B35" s="128" t="s">
        <v>407</v>
      </c>
      <c r="C35" s="174"/>
      <c r="D35" s="177"/>
      <c r="E35" s="174"/>
      <c r="F35" s="177"/>
      <c r="G35" s="178"/>
      <c r="H35" s="178"/>
      <c r="I35" s="178"/>
    </row>
    <row r="36" spans="1:9" ht="72" customHeight="1">
      <c r="A36" s="133"/>
      <c r="B36" s="128" t="s">
        <v>408</v>
      </c>
      <c r="C36" s="174"/>
      <c r="D36" s="177"/>
      <c r="E36" s="174"/>
      <c r="F36" s="177"/>
      <c r="G36" s="178"/>
      <c r="H36" s="178"/>
      <c r="I36" s="178"/>
    </row>
    <row r="37" spans="1:9" ht="58.15" customHeight="1">
      <c r="A37" s="133"/>
      <c r="B37" s="128" t="s">
        <v>409</v>
      </c>
      <c r="C37" s="174"/>
      <c r="D37" s="177"/>
      <c r="E37" s="174"/>
      <c r="F37" s="177"/>
      <c r="G37" s="178"/>
      <c r="H37" s="178"/>
      <c r="I37" s="178"/>
    </row>
    <row r="38" spans="1:9" ht="31.5" customHeight="1">
      <c r="A38" s="133"/>
      <c r="B38" s="128" t="s">
        <v>410</v>
      </c>
      <c r="C38" s="174"/>
      <c r="D38" s="177"/>
      <c r="E38" s="174"/>
      <c r="F38" s="177"/>
      <c r="G38" s="178"/>
      <c r="H38" s="178"/>
      <c r="I38" s="178"/>
    </row>
    <row r="39" spans="1:9" ht="25.8">
      <c r="A39" s="127" t="s">
        <v>411</v>
      </c>
      <c r="B39" s="128" t="s">
        <v>412</v>
      </c>
      <c r="C39" s="174"/>
      <c r="D39" s="177"/>
      <c r="E39" s="174"/>
      <c r="F39" s="177"/>
      <c r="G39" s="178"/>
      <c r="H39" s="178"/>
      <c r="I39" s="178"/>
    </row>
    <row r="40" spans="1:9" ht="46.9" customHeight="1">
      <c r="A40" s="133"/>
      <c r="B40" s="128" t="s">
        <v>413</v>
      </c>
      <c r="C40" s="174"/>
      <c r="D40" s="177"/>
      <c r="E40" s="174"/>
      <c r="F40" s="177"/>
      <c r="G40" s="178"/>
      <c r="H40" s="178"/>
      <c r="I40" s="178"/>
    </row>
    <row r="41" spans="1:9" ht="58.15" customHeight="1">
      <c r="A41" s="133"/>
      <c r="B41" s="128" t="s">
        <v>414</v>
      </c>
      <c r="C41" s="174"/>
      <c r="D41" s="177"/>
      <c r="E41" s="174"/>
      <c r="F41" s="177"/>
      <c r="G41" s="178"/>
      <c r="H41" s="178"/>
      <c r="I41" s="178"/>
    </row>
    <row r="42" spans="1:9" ht="69" customHeight="1">
      <c r="A42" s="133"/>
      <c r="B42" s="128" t="s">
        <v>415</v>
      </c>
      <c r="C42" s="174"/>
      <c r="D42" s="177"/>
      <c r="E42" s="174"/>
      <c r="F42" s="177"/>
      <c r="G42" s="178"/>
      <c r="H42" s="178"/>
      <c r="I42" s="178"/>
    </row>
    <row r="43" spans="1:9" ht="55.9" customHeight="1">
      <c r="A43" s="127" t="s">
        <v>416</v>
      </c>
      <c r="B43" s="128" t="s">
        <v>417</v>
      </c>
      <c r="C43" s="174"/>
      <c r="D43" s="177"/>
      <c r="E43" s="174"/>
      <c r="F43" s="177"/>
      <c r="G43" s="178"/>
      <c r="H43" s="178"/>
      <c r="I43" s="178"/>
    </row>
    <row r="44" spans="1:9" ht="25.8">
      <c r="A44" s="243" t="s">
        <v>418</v>
      </c>
      <c r="B44" s="128" t="s">
        <v>419</v>
      </c>
      <c r="C44" s="174"/>
      <c r="D44" s="177"/>
      <c r="E44" s="174"/>
      <c r="F44" s="177"/>
      <c r="G44" s="178"/>
      <c r="H44" s="178"/>
      <c r="I44" s="178"/>
    </row>
    <row r="45" spans="1:9" ht="145.5" customHeight="1">
      <c r="A45" s="244"/>
      <c r="B45" s="128" t="s">
        <v>420</v>
      </c>
      <c r="C45" s="174"/>
      <c r="D45" s="177"/>
      <c r="E45" s="174"/>
      <c r="F45" s="177"/>
      <c r="G45" s="178"/>
      <c r="H45" s="178"/>
      <c r="I45" s="178"/>
    </row>
    <row r="46" spans="1:9" ht="82.5" customHeight="1">
      <c r="A46" s="133"/>
      <c r="B46" s="128" t="s">
        <v>421</v>
      </c>
      <c r="C46" s="174"/>
      <c r="D46" s="177"/>
      <c r="E46" s="174"/>
      <c r="F46" s="177"/>
      <c r="G46" s="178"/>
      <c r="H46" s="178"/>
      <c r="I46" s="178"/>
    </row>
    <row r="47" spans="1:9" ht="32.5" customHeight="1">
      <c r="A47" s="133"/>
      <c r="B47" s="128" t="s">
        <v>422</v>
      </c>
      <c r="C47" s="174"/>
      <c r="D47" s="177"/>
      <c r="E47" s="174"/>
      <c r="F47" s="177"/>
      <c r="G47" s="178"/>
      <c r="H47" s="178"/>
      <c r="I47" s="178"/>
    </row>
    <row r="48" spans="1:9" ht="31" customHeight="1">
      <c r="A48" s="133"/>
      <c r="B48" s="128" t="s">
        <v>625</v>
      </c>
      <c r="C48" s="174"/>
      <c r="D48" s="177"/>
      <c r="E48" s="174"/>
      <c r="F48" s="177"/>
      <c r="G48" s="178"/>
      <c r="H48" s="178"/>
      <c r="I48" s="178"/>
    </row>
    <row r="49" spans="1:9" ht="69" customHeight="1">
      <c r="A49" s="133"/>
      <c r="B49" s="128" t="s">
        <v>423</v>
      </c>
      <c r="C49" s="174"/>
      <c r="D49" s="177"/>
      <c r="E49" s="174"/>
      <c r="F49" s="177"/>
      <c r="G49" s="178"/>
      <c r="H49" s="178"/>
      <c r="I49" s="178"/>
    </row>
    <row r="50" spans="1:9" ht="69" customHeight="1">
      <c r="A50" s="131"/>
      <c r="B50" s="128" t="s">
        <v>304</v>
      </c>
      <c r="C50" s="174"/>
      <c r="D50" s="177"/>
      <c r="E50" s="174"/>
      <c r="F50" s="177"/>
      <c r="G50" s="178"/>
      <c r="H50" s="178"/>
      <c r="I50" s="178"/>
    </row>
    <row r="51" spans="1:9" ht="31" customHeight="1">
      <c r="A51" s="140" t="s">
        <v>424</v>
      </c>
      <c r="B51" s="128" t="s">
        <v>425</v>
      </c>
      <c r="C51" s="174"/>
      <c r="D51" s="177"/>
      <c r="E51" s="174"/>
      <c r="F51" s="177"/>
      <c r="G51" s="178"/>
      <c r="H51" s="178"/>
      <c r="I51" s="178"/>
    </row>
    <row r="52" spans="1:9" ht="31.5" customHeight="1">
      <c r="A52" s="246" t="s">
        <v>426</v>
      </c>
      <c r="B52" s="128" t="s">
        <v>427</v>
      </c>
      <c r="C52" s="174"/>
      <c r="D52" s="177"/>
      <c r="E52" s="174"/>
      <c r="F52" s="177"/>
      <c r="G52" s="178"/>
      <c r="H52" s="178"/>
      <c r="I52" s="178"/>
    </row>
    <row r="53" spans="1:9" ht="31.9" customHeight="1">
      <c r="A53" s="247"/>
      <c r="B53" s="128" t="s">
        <v>428</v>
      </c>
      <c r="C53" s="174"/>
      <c r="D53" s="177"/>
      <c r="E53" s="174"/>
      <c r="F53" s="177"/>
      <c r="G53" s="178"/>
      <c r="H53" s="178"/>
      <c r="I53" s="178"/>
    </row>
    <row r="54" spans="1:9" ht="153.6" customHeight="1">
      <c r="A54" s="248"/>
      <c r="B54" s="128" t="s">
        <v>429</v>
      </c>
      <c r="C54" s="174"/>
      <c r="D54" s="177"/>
      <c r="E54" s="174"/>
      <c r="F54" s="177"/>
      <c r="G54" s="178"/>
      <c r="H54" s="178"/>
      <c r="I54" s="178"/>
    </row>
    <row r="55" spans="1:9" ht="61.5" customHeight="1">
      <c r="A55" s="127" t="s">
        <v>430</v>
      </c>
      <c r="B55" s="128" t="s">
        <v>626</v>
      </c>
      <c r="C55" s="174"/>
      <c r="D55" s="177"/>
      <c r="E55" s="174"/>
      <c r="F55" s="177"/>
      <c r="G55" s="178"/>
      <c r="H55" s="178"/>
      <c r="I55" s="178"/>
    </row>
    <row r="56" spans="1:9" ht="40.5" customHeight="1">
      <c r="A56" s="246" t="s">
        <v>356</v>
      </c>
      <c r="B56" s="128" t="s">
        <v>357</v>
      </c>
      <c r="C56" s="174"/>
      <c r="D56" s="177"/>
      <c r="E56" s="174"/>
      <c r="F56" s="177"/>
      <c r="G56" s="178"/>
      <c r="H56" s="178"/>
      <c r="I56" s="178"/>
    </row>
    <row r="57" spans="1:9" ht="34.9" customHeight="1">
      <c r="A57" s="247"/>
      <c r="B57" s="128" t="s">
        <v>358</v>
      </c>
      <c r="C57" s="174"/>
      <c r="D57" s="177"/>
      <c r="E57" s="174"/>
      <c r="F57" s="177"/>
      <c r="G57" s="178"/>
      <c r="H57" s="178"/>
      <c r="I57" s="178"/>
    </row>
    <row r="58" spans="1:9" ht="34.9" customHeight="1">
      <c r="A58" s="248"/>
      <c r="B58" s="128" t="s">
        <v>359</v>
      </c>
      <c r="C58" s="174"/>
      <c r="D58" s="177"/>
      <c r="E58" s="174"/>
      <c r="F58" s="177"/>
      <c r="G58" s="178"/>
      <c r="H58" s="178"/>
      <c r="I58" s="178"/>
    </row>
    <row r="59" spans="1:9" ht="73.5" customHeight="1">
      <c r="A59" s="127" t="s">
        <v>360</v>
      </c>
      <c r="B59" s="128" t="s">
        <v>627</v>
      </c>
      <c r="C59" s="174"/>
      <c r="D59" s="177"/>
      <c r="E59" s="174"/>
      <c r="F59" s="177"/>
      <c r="G59" s="178"/>
      <c r="H59" s="178"/>
      <c r="I59" s="178"/>
    </row>
    <row r="60" spans="1:9" ht="61.15" customHeight="1">
      <c r="A60" s="133"/>
      <c r="B60" s="128" t="s">
        <v>361</v>
      </c>
      <c r="C60" s="174"/>
      <c r="D60" s="177"/>
      <c r="E60" s="174"/>
      <c r="F60" s="177"/>
      <c r="G60" s="178"/>
      <c r="H60" s="178"/>
      <c r="I60" s="178"/>
    </row>
    <row r="61" spans="1:9" ht="71.5" customHeight="1">
      <c r="A61" s="133"/>
      <c r="B61" s="128" t="s">
        <v>362</v>
      </c>
      <c r="C61" s="174"/>
      <c r="D61" s="177"/>
      <c r="E61" s="174"/>
      <c r="F61" s="177"/>
      <c r="G61" s="178"/>
      <c r="H61" s="178"/>
      <c r="I61" s="178"/>
    </row>
    <row r="62" spans="1:9" ht="25.8">
      <c r="A62" s="133"/>
      <c r="B62" s="128" t="s">
        <v>279</v>
      </c>
      <c r="C62" s="174"/>
      <c r="D62" s="177"/>
      <c r="E62" s="174"/>
      <c r="F62" s="177"/>
      <c r="G62" s="178"/>
      <c r="H62" s="178"/>
      <c r="I62" s="178"/>
    </row>
    <row r="63" spans="1:9">
      <c r="A63" s="127" t="s">
        <v>280</v>
      </c>
      <c r="B63" s="128" t="s">
        <v>281</v>
      </c>
      <c r="C63" s="174"/>
      <c r="D63" s="177"/>
      <c r="E63" s="174"/>
      <c r="F63" s="177"/>
      <c r="G63" s="178"/>
      <c r="H63" s="178"/>
      <c r="I63" s="178"/>
    </row>
    <row r="64" spans="1:9" ht="25.8">
      <c r="A64" s="133"/>
      <c r="B64" s="128" t="s">
        <v>282</v>
      </c>
      <c r="C64" s="174"/>
      <c r="D64" s="177"/>
      <c r="E64" s="174"/>
      <c r="F64" s="177"/>
      <c r="G64" s="178"/>
      <c r="H64" s="178"/>
      <c r="I64" s="178"/>
    </row>
    <row r="65" spans="1:9">
      <c r="A65" s="133"/>
      <c r="B65" s="139"/>
      <c r="C65" s="135"/>
      <c r="D65" s="131"/>
      <c r="E65" s="135"/>
      <c r="F65" s="131"/>
      <c r="G65" s="77"/>
      <c r="H65" s="77"/>
      <c r="I65" s="77"/>
    </row>
    <row r="66" spans="1:9" s="129" customFormat="1" ht="12.9">
      <c r="A66" s="136"/>
      <c r="B66" s="128"/>
      <c r="C66" s="134"/>
      <c r="D66" s="132"/>
      <c r="E66" s="134"/>
      <c r="F66" s="132"/>
      <c r="G66" s="130"/>
      <c r="H66" s="130"/>
      <c r="I66" s="130"/>
    </row>
    <row r="67" spans="1:9" s="132" customFormat="1" ht="12.9">
      <c r="A67" s="137"/>
      <c r="C67" s="134"/>
    </row>
    <row r="69" spans="1:9" ht="31" customHeight="1">
      <c r="A69" t="s">
        <v>230</v>
      </c>
      <c r="B69" s="1"/>
      <c r="D69" s="1"/>
      <c r="E69" s="1"/>
      <c r="F69" s="1"/>
      <c r="G69" s="1"/>
      <c r="H69" s="1"/>
      <c r="I69" s="1"/>
    </row>
    <row r="71" spans="1:9">
      <c r="A71" s="10" t="s">
        <v>268</v>
      </c>
      <c r="B71" s="10"/>
      <c r="C71" s="138"/>
      <c r="D71" s="10"/>
      <c r="E71" s="10"/>
      <c r="F71" s="10"/>
      <c r="G71" s="10"/>
      <c r="H71" s="10"/>
      <c r="I71" s="10"/>
    </row>
    <row r="72" spans="1:9">
      <c r="A72" t="s">
        <v>269</v>
      </c>
      <c r="B72" s="52"/>
      <c r="C72" s="84"/>
      <c r="D72" s="52"/>
      <c r="E72" s="52"/>
      <c r="F72" s="52"/>
      <c r="G72" s="52"/>
      <c r="H72" s="52"/>
      <c r="I72" s="52"/>
    </row>
    <row r="73" spans="1:9">
      <c r="A73" t="s">
        <v>270</v>
      </c>
    </row>
    <row r="74" spans="1:9">
      <c r="A74" t="s">
        <v>271</v>
      </c>
    </row>
    <row r="75" spans="1:9">
      <c r="A75" t="s">
        <v>272</v>
      </c>
    </row>
    <row r="77" spans="1:9">
      <c r="A77" s="10" t="s">
        <v>273</v>
      </c>
    </row>
    <row r="78" spans="1:9">
      <c r="A78" t="s">
        <v>274</v>
      </c>
      <c r="B78" s="52"/>
      <c r="C78" s="84"/>
      <c r="D78" s="52"/>
      <c r="E78" s="52"/>
      <c r="F78" s="52"/>
      <c r="G78" s="52"/>
      <c r="H78" s="52"/>
      <c r="I78" s="52"/>
    </row>
    <row r="79" spans="1:9">
      <c r="A79" t="s">
        <v>275</v>
      </c>
    </row>
    <row r="80" spans="1:9">
      <c r="A80" t="s">
        <v>276</v>
      </c>
    </row>
    <row r="81" spans="1:9">
      <c r="A81" t="s">
        <v>277</v>
      </c>
    </row>
    <row r="84" spans="1:9">
      <c r="G84" s="52"/>
    </row>
    <row r="86" spans="1:9">
      <c r="A86" s="52"/>
      <c r="B86" s="52"/>
      <c r="C86" s="84"/>
      <c r="D86" s="52"/>
      <c r="E86" s="52"/>
      <c r="F86" s="52"/>
      <c r="G86" s="52"/>
      <c r="H86" s="52"/>
      <c r="I86" s="52"/>
    </row>
    <row r="92" spans="1:9">
      <c r="A92" s="52"/>
      <c r="B92" s="52"/>
      <c r="C92" s="84"/>
      <c r="D92" s="52"/>
      <c r="E92" s="52"/>
      <c r="F92" s="52"/>
      <c r="G92" s="52"/>
      <c r="H92" s="52"/>
      <c r="I92" s="52"/>
    </row>
    <row r="99" spans="1:9">
      <c r="A99" s="52"/>
      <c r="B99" s="52"/>
      <c r="C99" s="84"/>
      <c r="D99" s="52"/>
      <c r="E99" s="52"/>
      <c r="F99" s="52"/>
      <c r="G99" s="52"/>
      <c r="H99" s="52"/>
      <c r="I99" s="52"/>
    </row>
    <row r="106" spans="1:9">
      <c r="A106" s="52"/>
      <c r="B106" s="52"/>
      <c r="C106" s="84"/>
      <c r="D106" s="52"/>
      <c r="E106" s="52"/>
      <c r="F106" s="52"/>
      <c r="G106" s="52"/>
      <c r="H106" s="52"/>
      <c r="I106" s="52"/>
    </row>
    <row r="114" spans="1:9">
      <c r="A114" s="52"/>
      <c r="B114" s="52"/>
      <c r="C114" s="84"/>
      <c r="D114" s="52"/>
      <c r="E114" s="52"/>
      <c r="F114" s="52"/>
      <c r="G114" s="52"/>
      <c r="H114" s="52"/>
      <c r="I114" s="52"/>
    </row>
    <row r="123" spans="1:9">
      <c r="A123" s="52"/>
      <c r="B123" s="52"/>
      <c r="C123" s="84"/>
      <c r="D123" s="52"/>
      <c r="E123" s="52"/>
      <c r="F123" s="52"/>
      <c r="G123" s="52"/>
      <c r="H123" s="52"/>
      <c r="I123" s="52"/>
    </row>
    <row r="131" spans="1:9">
      <c r="A131" s="52"/>
      <c r="B131" s="52"/>
      <c r="C131" s="84"/>
      <c r="D131" s="52"/>
      <c r="E131" s="52"/>
      <c r="F131" s="52"/>
      <c r="G131" s="52"/>
      <c r="H131" s="52"/>
      <c r="I131" s="52"/>
    </row>
    <row r="140" spans="1:9">
      <c r="A140" s="52"/>
      <c r="B140" s="52"/>
      <c r="C140" s="84"/>
      <c r="D140" s="52"/>
      <c r="E140" s="52"/>
      <c r="F140" s="52"/>
      <c r="G140" s="52"/>
      <c r="H140" s="52"/>
      <c r="I140" s="52"/>
    </row>
    <row r="147" spans="1:9">
      <c r="A147" s="52"/>
      <c r="B147" s="52"/>
      <c r="C147" s="84"/>
      <c r="D147" s="52"/>
      <c r="E147" s="52"/>
      <c r="F147" s="52"/>
      <c r="G147" s="52"/>
      <c r="H147" s="52"/>
      <c r="I147" s="52"/>
    </row>
    <row r="154" spans="1:9">
      <c r="A154" s="52"/>
      <c r="B154" s="52"/>
      <c r="C154" s="84"/>
      <c r="D154" s="52"/>
      <c r="E154" s="52"/>
      <c r="F154" s="52"/>
      <c r="G154" s="52"/>
      <c r="H154" s="52"/>
      <c r="I154" s="52"/>
    </row>
  </sheetData>
  <mergeCells count="10">
    <mergeCell ref="A3:A4"/>
    <mergeCell ref="A6:A9"/>
    <mergeCell ref="A11:A12"/>
    <mergeCell ref="A14:A16"/>
    <mergeCell ref="A56:A58"/>
    <mergeCell ref="A18:A20"/>
    <mergeCell ref="A22:A25"/>
    <mergeCell ref="A28:A32"/>
    <mergeCell ref="A44:A45"/>
    <mergeCell ref="A52:A54"/>
  </mergeCells>
  <phoneticPr fontId="17" type="noConversion"/>
  <pageMargins left="0.7" right="0.7" top="0.75" bottom="0.75" header="0.3" footer="0.3"/>
  <pageSetup paperSize="9" scale="55" orientation="landscape" horizontalDpi="1200" verticalDpi="1200" r:id="rId1"/>
  <rowBreaks count="1" manualBreakCount="1">
    <brk id="104" max="16383" man="1"/>
  </rowBreaks>
  <colBreaks count="1" manualBreakCount="1">
    <brk id="10" max="1048575" man="1"/>
  </col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F48"/>
  <sheetViews>
    <sheetView showGridLines="0" workbookViewId="0">
      <selection activeCell="C2" sqref="C2:F2"/>
    </sheetView>
  </sheetViews>
  <sheetFormatPr defaultColWidth="10.84765625" defaultRowHeight="15.6"/>
  <cols>
    <col min="1" max="1" width="16.59765625" style="1" customWidth="1"/>
    <col min="2" max="2" width="106.84765625" style="1" customWidth="1"/>
    <col min="3" max="3" width="17.59765625" style="1" customWidth="1"/>
    <col min="4" max="4" width="22" style="1" customWidth="1"/>
    <col min="5" max="16384" width="10.84765625" style="1"/>
  </cols>
  <sheetData>
    <row r="2" spans="2:6" s="117" customFormat="1" ht="36" customHeight="1">
      <c r="B2" s="118" t="s">
        <v>431</v>
      </c>
      <c r="C2" s="252" t="s">
        <v>173</v>
      </c>
      <c r="D2" s="252"/>
      <c r="E2" s="252"/>
      <c r="F2" s="252"/>
    </row>
    <row r="3" spans="2:6">
      <c r="B3" s="82" t="s">
        <v>293</v>
      </c>
    </row>
    <row r="4" spans="2:6">
      <c r="B4" s="82"/>
    </row>
    <row r="5" spans="2:6" ht="58.5" customHeight="1">
      <c r="B5" s="84" t="s">
        <v>595</v>
      </c>
      <c r="C5" s="82"/>
    </row>
    <row r="6" spans="2:6">
      <c r="B6" s="82"/>
      <c r="C6" s="82"/>
    </row>
    <row r="7" spans="2:6" ht="116.1" customHeight="1">
      <c r="B7" s="81" t="s">
        <v>432</v>
      </c>
      <c r="C7" s="86"/>
      <c r="D7" s="86"/>
    </row>
    <row r="8" spans="2:6">
      <c r="B8" s="82"/>
      <c r="C8" s="82"/>
    </row>
    <row r="9" spans="2:6" s="3" customFormat="1" ht="37" customHeight="1">
      <c r="B9" s="83" t="s">
        <v>211</v>
      </c>
      <c r="C9" s="83" t="s">
        <v>296</v>
      </c>
      <c r="D9" s="79" t="s">
        <v>212</v>
      </c>
    </row>
    <row r="10" spans="2:6" ht="30" customHeight="1">
      <c r="B10" s="189" t="s">
        <v>596</v>
      </c>
      <c r="C10" s="212">
        <v>0</v>
      </c>
      <c r="D10" s="217"/>
    </row>
    <row r="11" spans="2:6" ht="30" customHeight="1">
      <c r="B11" s="190" t="s">
        <v>597</v>
      </c>
      <c r="C11" s="214">
        <v>1</v>
      </c>
      <c r="D11" s="215"/>
    </row>
    <row r="12" spans="2:6" ht="49.5" customHeight="1">
      <c r="B12" s="191" t="s">
        <v>598</v>
      </c>
      <c r="C12" s="212">
        <v>2</v>
      </c>
      <c r="D12" s="215"/>
    </row>
    <row r="13" spans="2:6" ht="30.75" customHeight="1">
      <c r="B13" s="190" t="s">
        <v>599</v>
      </c>
      <c r="C13" s="214">
        <v>3</v>
      </c>
      <c r="D13" s="215"/>
    </row>
    <row r="14" spans="2:6">
      <c r="D14" s="73"/>
    </row>
    <row r="15" spans="2:6" ht="16" customHeight="1">
      <c r="B15" s="3" t="s">
        <v>283</v>
      </c>
      <c r="C15" s="82"/>
    </row>
    <row r="16" spans="2:6">
      <c r="B16" s="82"/>
      <c r="C16" s="82"/>
    </row>
    <row r="17" spans="2:4" s="70" customFormat="1" ht="77.099999999999994" customHeight="1">
      <c r="B17" s="186" t="s">
        <v>197</v>
      </c>
      <c r="C17" s="86"/>
      <c r="D17" s="86"/>
    </row>
    <row r="19" spans="2:4" ht="16" customHeight="1">
      <c r="B19" s="82" t="s">
        <v>53</v>
      </c>
      <c r="C19" s="82"/>
      <c r="D19" s="82"/>
    </row>
    <row r="20" spans="2:4">
      <c r="B20" s="82"/>
    </row>
    <row r="21" spans="2:4" ht="79" customHeight="1">
      <c r="B21" s="90" t="s">
        <v>197</v>
      </c>
      <c r="C21" s="86"/>
      <c r="D21" s="86"/>
    </row>
    <row r="22" spans="2:4">
      <c r="B22" s="71"/>
      <c r="C22" s="84"/>
      <c r="D22" s="84"/>
    </row>
    <row r="23" spans="2:4" ht="30.75" customHeight="1">
      <c r="B23" s="84" t="s">
        <v>647</v>
      </c>
      <c r="C23" s="84"/>
    </row>
    <row r="24" spans="2:4">
      <c r="B24" s="84"/>
      <c r="C24" s="84"/>
    </row>
    <row r="25" spans="2:4" s="204" customFormat="1">
      <c r="B25" s="80"/>
    </row>
    <row r="26" spans="2:4" s="204" customFormat="1">
      <c r="B26" s="12"/>
    </row>
    <row r="27" spans="2:4" s="204" customFormat="1" ht="16" customHeight="1">
      <c r="B27" s="80"/>
    </row>
    <row r="28" spans="2:4" s="204" customFormat="1" ht="16" customHeight="1">
      <c r="B28" s="12"/>
    </row>
    <row r="29" spans="2:4" s="204" customFormat="1">
      <c r="B29" s="80"/>
    </row>
    <row r="30" spans="2:4" s="204" customFormat="1">
      <c r="B30" s="12"/>
    </row>
    <row r="31" spans="2:4" s="204" customFormat="1">
      <c r="B31" s="80"/>
    </row>
    <row r="32" spans="2:4" s="204" customFormat="1">
      <c r="B32" s="12"/>
    </row>
    <row r="33" spans="2:2">
      <c r="B33" s="86"/>
    </row>
    <row r="34" spans="2:2">
      <c r="B34" s="86"/>
    </row>
    <row r="35" spans="2:2">
      <c r="B35" s="86"/>
    </row>
    <row r="36" spans="2:2">
      <c r="B36" s="86"/>
    </row>
    <row r="37" spans="2:2">
      <c r="B37" s="86"/>
    </row>
    <row r="38" spans="2:2">
      <c r="B38" s="86"/>
    </row>
    <row r="39" spans="2:2">
      <c r="B39" s="86"/>
    </row>
    <row r="40" spans="2:2">
      <c r="B40" s="86"/>
    </row>
    <row r="41" spans="2:2">
      <c r="B41" s="86"/>
    </row>
    <row r="42" spans="2:2">
      <c r="B42" s="86"/>
    </row>
    <row r="43" spans="2:2">
      <c r="B43" s="86"/>
    </row>
    <row r="44" spans="2:2">
      <c r="B44" s="86"/>
    </row>
    <row r="45" spans="2:2">
      <c r="B45" s="86"/>
    </row>
    <row r="46" spans="2:2">
      <c r="B46" s="86"/>
    </row>
    <row r="47" spans="2:2">
      <c r="B47" s="86"/>
    </row>
    <row r="48" spans="2:2">
      <c r="B48" s="86"/>
    </row>
  </sheetData>
  <mergeCells count="1">
    <mergeCell ref="C2:F2"/>
  </mergeCells>
  <phoneticPr fontId="17" type="noConversion"/>
  <hyperlinks>
    <hyperlink ref="C2" location="'Advanced METT questions+scores'!A1" display="Back to 'Advanced METT questions and scores'" xr:uid="{00000000-0004-0000-0500-000000000000}"/>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5058" r:id="rId4" name="Check Box 2">
              <controlPr defaultSize="0" autoFill="0" autoLine="0" autoPict="0">
                <anchor moveWithCells="1">
                  <from>
                    <xdr:col>1</xdr:col>
                    <xdr:colOff>2590800</xdr:colOff>
                    <xdr:row>1</xdr:row>
                    <xdr:rowOff>449580</xdr:rowOff>
                  </from>
                  <to>
                    <xdr:col>1</xdr:col>
                    <xdr:colOff>3002280</xdr:colOff>
                    <xdr:row>3</xdr:row>
                    <xdr:rowOff>19050</xdr:rowOff>
                  </to>
                </anchor>
              </controlPr>
            </control>
          </mc:Choice>
        </mc:AlternateContent>
        <mc:AlternateContent xmlns:mc="http://schemas.openxmlformats.org/markup-compatibility/2006">
          <mc:Choice Requires="x14">
            <control shapeId="45059" r:id="rId5" name="Check Box 3">
              <controlPr defaultSize="0" autoFill="0" autoLine="0" autoPict="0">
                <anchor moveWithCells="1">
                  <from>
                    <xdr:col>0</xdr:col>
                    <xdr:colOff>0</xdr:colOff>
                    <xdr:row>23</xdr:row>
                    <xdr:rowOff>190500</xdr:rowOff>
                  </from>
                  <to>
                    <xdr:col>0</xdr:col>
                    <xdr:colOff>963930</xdr:colOff>
                    <xdr:row>25</xdr:row>
                    <xdr:rowOff>0</xdr:rowOff>
                  </to>
                </anchor>
              </controlPr>
            </control>
          </mc:Choice>
        </mc:AlternateContent>
        <mc:AlternateContent xmlns:mc="http://schemas.openxmlformats.org/markup-compatibility/2006">
          <mc:Choice Requires="x14">
            <control shapeId="45060" r:id="rId6" name="Check Box 4">
              <controlPr defaultSize="0" autoFill="0" autoLine="0" autoPict="0">
                <anchor moveWithCells="1">
                  <from>
                    <xdr:col>0</xdr:col>
                    <xdr:colOff>0</xdr:colOff>
                    <xdr:row>24</xdr:row>
                    <xdr:rowOff>182880</xdr:rowOff>
                  </from>
                  <to>
                    <xdr:col>0</xdr:col>
                    <xdr:colOff>906780</xdr:colOff>
                    <xdr:row>26</xdr:row>
                    <xdr:rowOff>0</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0</xdr:col>
                    <xdr:colOff>0</xdr:colOff>
                    <xdr:row>26</xdr:row>
                    <xdr:rowOff>0</xdr:rowOff>
                  </from>
                  <to>
                    <xdr:col>1</xdr:col>
                    <xdr:colOff>392430</xdr:colOff>
                    <xdr:row>27</xdr:row>
                    <xdr:rowOff>0</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0</xdr:col>
                    <xdr:colOff>0</xdr:colOff>
                    <xdr:row>28</xdr:row>
                    <xdr:rowOff>11430</xdr:rowOff>
                  </from>
                  <to>
                    <xdr:col>0</xdr:col>
                    <xdr:colOff>800100</xdr:colOff>
                    <xdr:row>29</xdr:row>
                    <xdr:rowOff>19050</xdr:rowOff>
                  </to>
                </anchor>
              </controlPr>
            </control>
          </mc:Choice>
        </mc:AlternateContent>
        <mc:AlternateContent xmlns:mc="http://schemas.openxmlformats.org/markup-compatibility/2006">
          <mc:Choice Requires="x14">
            <control shapeId="45064" r:id="rId10" name="Check Box 8">
              <controlPr defaultSize="0" autoFill="0" autoLine="0" autoPict="0">
                <anchor moveWithCells="1">
                  <from>
                    <xdr:col>0</xdr:col>
                    <xdr:colOff>0</xdr:colOff>
                    <xdr:row>28</xdr:row>
                    <xdr:rowOff>201930</xdr:rowOff>
                  </from>
                  <to>
                    <xdr:col>0</xdr:col>
                    <xdr:colOff>1097280</xdr:colOff>
                    <xdr:row>30</xdr:row>
                    <xdr:rowOff>19050</xdr:rowOff>
                  </to>
                </anchor>
              </controlPr>
            </control>
          </mc:Choice>
        </mc:AlternateContent>
        <mc:AlternateContent xmlns:mc="http://schemas.openxmlformats.org/markup-compatibility/2006">
          <mc:Choice Requires="x14">
            <control shapeId="45065" r:id="rId11" name="Check Box 9">
              <controlPr defaultSize="0" autoFill="0" autoLine="0" autoPict="0">
                <anchor moveWithCells="1">
                  <from>
                    <xdr:col>0</xdr:col>
                    <xdr:colOff>0</xdr:colOff>
                    <xdr:row>30</xdr:row>
                    <xdr:rowOff>0</xdr:rowOff>
                  </from>
                  <to>
                    <xdr:col>0</xdr:col>
                    <xdr:colOff>1123950</xdr:colOff>
                    <xdr:row>31</xdr:row>
                    <xdr:rowOff>11430</xdr:rowOff>
                  </to>
                </anchor>
              </controlPr>
            </control>
          </mc:Choice>
        </mc:AlternateContent>
        <mc:AlternateContent xmlns:mc="http://schemas.openxmlformats.org/markup-compatibility/2006">
          <mc:Choice Requires="x14">
            <control shapeId="45066" r:id="rId12" name="Check Box 10">
              <controlPr defaultSize="0" autoFill="0" autoLine="0" autoPict="0">
                <anchor moveWithCells="1">
                  <from>
                    <xdr:col>0</xdr:col>
                    <xdr:colOff>0</xdr:colOff>
                    <xdr:row>31</xdr:row>
                    <xdr:rowOff>0</xdr:rowOff>
                  </from>
                  <to>
                    <xdr:col>0</xdr:col>
                    <xdr:colOff>857250</xdr:colOff>
                    <xdr:row>32</xdr:row>
                    <xdr:rowOff>11430</xdr:rowOff>
                  </to>
                </anchor>
              </controlPr>
            </control>
          </mc:Choice>
        </mc:AlternateContent>
        <mc:AlternateContent xmlns:mc="http://schemas.openxmlformats.org/markup-compatibility/2006">
          <mc:Choice Requires="x14">
            <control shapeId="45075" r:id="rId13" name="Check Box 19">
              <controlPr defaultSize="0" autoFill="0" autoLine="0" autoPict="0">
                <anchor moveWithCells="1">
                  <from>
                    <xdr:col>0</xdr:col>
                    <xdr:colOff>0</xdr:colOff>
                    <xdr:row>23</xdr:row>
                    <xdr:rowOff>190500</xdr:rowOff>
                  </from>
                  <to>
                    <xdr:col>0</xdr:col>
                    <xdr:colOff>963930</xdr:colOff>
                    <xdr:row>25</xdr:row>
                    <xdr:rowOff>0</xdr:rowOff>
                  </to>
                </anchor>
              </controlPr>
            </control>
          </mc:Choice>
        </mc:AlternateContent>
        <mc:AlternateContent xmlns:mc="http://schemas.openxmlformats.org/markup-compatibility/2006">
          <mc:Choice Requires="x14">
            <control shapeId="45076" r:id="rId14" name="Check Box 20">
              <controlPr defaultSize="0" autoFill="0" autoLine="0" autoPict="0">
                <anchor moveWithCells="1">
                  <from>
                    <xdr:col>0</xdr:col>
                    <xdr:colOff>0</xdr:colOff>
                    <xdr:row>24</xdr:row>
                    <xdr:rowOff>182880</xdr:rowOff>
                  </from>
                  <to>
                    <xdr:col>0</xdr:col>
                    <xdr:colOff>906780</xdr:colOff>
                    <xdr:row>26</xdr:row>
                    <xdr:rowOff>0</xdr:rowOff>
                  </to>
                </anchor>
              </controlPr>
            </control>
          </mc:Choice>
        </mc:AlternateContent>
        <mc:AlternateContent xmlns:mc="http://schemas.openxmlformats.org/markup-compatibility/2006">
          <mc:Choice Requires="x14">
            <control shapeId="45077" r:id="rId15" name="Check Box 21">
              <controlPr defaultSize="0" autoFill="0" autoLine="0" autoPict="0">
                <anchor moveWithCells="1">
                  <from>
                    <xdr:col>0</xdr:col>
                    <xdr:colOff>0</xdr:colOff>
                    <xdr:row>26</xdr:row>
                    <xdr:rowOff>0</xdr:rowOff>
                  </from>
                  <to>
                    <xdr:col>1</xdr:col>
                    <xdr:colOff>392430</xdr:colOff>
                    <xdr:row>27</xdr:row>
                    <xdr:rowOff>0</xdr:rowOff>
                  </to>
                </anchor>
              </controlPr>
            </control>
          </mc:Choice>
        </mc:AlternateContent>
        <mc:AlternateContent xmlns:mc="http://schemas.openxmlformats.org/markup-compatibility/2006">
          <mc:Choice Requires="x14">
            <control shapeId="45078" r:id="rId16" name="Check Box 22">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45079" r:id="rId17" name="Check Box 23">
              <controlPr defaultSize="0" autoFill="0" autoLine="0" autoPict="0">
                <anchor moveWithCells="1">
                  <from>
                    <xdr:col>0</xdr:col>
                    <xdr:colOff>0</xdr:colOff>
                    <xdr:row>28</xdr:row>
                    <xdr:rowOff>11430</xdr:rowOff>
                  </from>
                  <to>
                    <xdr:col>0</xdr:col>
                    <xdr:colOff>800100</xdr:colOff>
                    <xdr:row>29</xdr:row>
                    <xdr:rowOff>19050</xdr:rowOff>
                  </to>
                </anchor>
              </controlPr>
            </control>
          </mc:Choice>
        </mc:AlternateContent>
        <mc:AlternateContent xmlns:mc="http://schemas.openxmlformats.org/markup-compatibility/2006">
          <mc:Choice Requires="x14">
            <control shapeId="45080" r:id="rId18" name="Check Box 24">
              <controlPr defaultSize="0" autoFill="0" autoLine="0" autoPict="0">
                <anchor moveWithCells="1">
                  <from>
                    <xdr:col>0</xdr:col>
                    <xdr:colOff>0</xdr:colOff>
                    <xdr:row>28</xdr:row>
                    <xdr:rowOff>201930</xdr:rowOff>
                  </from>
                  <to>
                    <xdr:col>0</xdr:col>
                    <xdr:colOff>1097280</xdr:colOff>
                    <xdr:row>30</xdr:row>
                    <xdr:rowOff>19050</xdr:rowOff>
                  </to>
                </anchor>
              </controlPr>
            </control>
          </mc:Choice>
        </mc:AlternateContent>
        <mc:AlternateContent xmlns:mc="http://schemas.openxmlformats.org/markup-compatibility/2006">
          <mc:Choice Requires="x14">
            <control shapeId="45081" r:id="rId19" name="Check Box 25">
              <controlPr defaultSize="0" autoFill="0" autoLine="0" autoPict="0">
                <anchor moveWithCells="1">
                  <from>
                    <xdr:col>0</xdr:col>
                    <xdr:colOff>0</xdr:colOff>
                    <xdr:row>30</xdr:row>
                    <xdr:rowOff>0</xdr:rowOff>
                  </from>
                  <to>
                    <xdr:col>0</xdr:col>
                    <xdr:colOff>1123950</xdr:colOff>
                    <xdr:row>31</xdr:row>
                    <xdr:rowOff>11430</xdr:rowOff>
                  </to>
                </anchor>
              </controlPr>
            </control>
          </mc:Choice>
        </mc:AlternateContent>
        <mc:AlternateContent xmlns:mc="http://schemas.openxmlformats.org/markup-compatibility/2006">
          <mc:Choice Requires="x14">
            <control shapeId="45082" r:id="rId20" name="Check Box 26">
              <controlPr defaultSize="0" autoFill="0" autoLine="0" autoPict="0">
                <anchor moveWithCells="1">
                  <from>
                    <xdr:col>0</xdr:col>
                    <xdr:colOff>0</xdr:colOff>
                    <xdr:row>31</xdr:row>
                    <xdr:rowOff>0</xdr:rowOff>
                  </from>
                  <to>
                    <xdr:col>0</xdr:col>
                    <xdr:colOff>857250</xdr:colOff>
                    <xdr:row>32</xdr:row>
                    <xdr:rowOff>11430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E34"/>
  <sheetViews>
    <sheetView showGridLines="0" workbookViewId="0">
      <selection activeCell="D9" sqref="D9"/>
    </sheetView>
  </sheetViews>
  <sheetFormatPr defaultColWidth="10.84765625" defaultRowHeight="15.6"/>
  <cols>
    <col min="1" max="1" width="16.59765625" style="204" customWidth="1"/>
    <col min="2" max="2" width="106.84765625" style="1" customWidth="1"/>
    <col min="3" max="3" width="17.59765625" style="1" customWidth="1"/>
    <col min="4" max="4" width="22.09765625" style="1" customWidth="1"/>
    <col min="5" max="16384" width="10.84765625" style="1"/>
  </cols>
  <sheetData>
    <row r="1" spans="1:5" s="117" customFormat="1" ht="35.1" customHeight="1">
      <c r="B1" s="118" t="s">
        <v>433</v>
      </c>
      <c r="C1" s="252" t="s">
        <v>173</v>
      </c>
      <c r="D1" s="252"/>
      <c r="E1" s="252"/>
    </row>
    <row r="2" spans="1:5">
      <c r="B2" s="82" t="s">
        <v>293</v>
      </c>
    </row>
    <row r="3" spans="1:5">
      <c r="B3" s="82"/>
    </row>
    <row r="4" spans="1:5" ht="53.1" customHeight="1">
      <c r="B4" s="84" t="s">
        <v>600</v>
      </c>
      <c r="C4" s="82"/>
      <c r="D4" s="82"/>
    </row>
    <row r="5" spans="1:5">
      <c r="B5" s="82"/>
    </row>
    <row r="6" spans="1:5" ht="51" customHeight="1">
      <c r="B6" s="81" t="s">
        <v>233</v>
      </c>
      <c r="C6" s="86"/>
      <c r="D6" s="86"/>
    </row>
    <row r="7" spans="1:5">
      <c r="B7" s="82"/>
    </row>
    <row r="8" spans="1:5" s="3" customFormat="1" ht="42.6" customHeight="1">
      <c r="B8" s="83" t="s">
        <v>198</v>
      </c>
      <c r="C8" s="83" t="s">
        <v>296</v>
      </c>
      <c r="D8" s="79" t="s">
        <v>212</v>
      </c>
    </row>
    <row r="9" spans="1:5" ht="42" customHeight="1">
      <c r="B9" s="187" t="s">
        <v>434</v>
      </c>
      <c r="C9" s="212">
        <v>0</v>
      </c>
      <c r="D9" s="213"/>
    </row>
    <row r="10" spans="1:5" ht="36" customHeight="1">
      <c r="B10" s="188" t="s">
        <v>435</v>
      </c>
      <c r="C10" s="214">
        <v>1</v>
      </c>
      <c r="D10" s="215"/>
    </row>
    <row r="11" spans="1:5" ht="33" customHeight="1">
      <c r="B11" s="187" t="s">
        <v>436</v>
      </c>
      <c r="C11" s="212">
        <v>2</v>
      </c>
      <c r="D11" s="215"/>
    </row>
    <row r="12" spans="1:5" ht="38.25" customHeight="1">
      <c r="B12" s="188" t="s">
        <v>437</v>
      </c>
      <c r="C12" s="214">
        <v>3</v>
      </c>
      <c r="D12" s="215"/>
    </row>
    <row r="13" spans="1:5">
      <c r="D13" s="73"/>
    </row>
    <row r="14" spans="1:5">
      <c r="B14" s="3" t="s">
        <v>283</v>
      </c>
      <c r="C14" s="82"/>
    </row>
    <row r="15" spans="1:5">
      <c r="B15" s="82"/>
      <c r="C15" s="82"/>
    </row>
    <row r="16" spans="1:5" s="70" customFormat="1" ht="63" customHeight="1">
      <c r="A16" s="203"/>
      <c r="B16" s="90" t="s">
        <v>197</v>
      </c>
      <c r="C16" s="84"/>
      <c r="D16" s="84"/>
    </row>
    <row r="18" spans="1:4">
      <c r="B18" s="82" t="s">
        <v>53</v>
      </c>
      <c r="C18" s="82"/>
      <c r="D18" s="82"/>
    </row>
    <row r="19" spans="1:4">
      <c r="B19" s="82"/>
    </row>
    <row r="20" spans="1:4" ht="62.1" customHeight="1">
      <c r="B20" s="90" t="s">
        <v>197</v>
      </c>
      <c r="C20" s="84"/>
      <c r="D20" s="84"/>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c r="A32" s="206"/>
      <c r="B32" s="207"/>
    </row>
    <row r="33" spans="1:2">
      <c r="A33" s="206"/>
      <c r="B33" s="207"/>
    </row>
    <row r="34" spans="1:2">
      <c r="A34" s="206"/>
      <c r="B34" s="206"/>
    </row>
  </sheetData>
  <mergeCells count="1">
    <mergeCell ref="C1:E1"/>
  </mergeCells>
  <phoneticPr fontId="17" type="noConversion"/>
  <hyperlinks>
    <hyperlink ref="C1" location="'Advanced METT questions+scores'!A1" display="Back to 'Advanced METT questions and scores'" xr:uid="{00000000-0004-0000-0600-000000000000}"/>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6081" r:id="rId3" name="Check Box 1">
              <controlPr locked="0" defaultSize="0" autoFill="0" autoLine="0" autoPict="0">
                <anchor moveWithCells="1">
                  <from>
                    <xdr:col>1</xdr:col>
                    <xdr:colOff>2697480</xdr:colOff>
                    <xdr:row>1</xdr:row>
                    <xdr:rowOff>11430</xdr:rowOff>
                  </from>
                  <to>
                    <xdr:col>1</xdr:col>
                    <xdr:colOff>3505200</xdr:colOff>
                    <xdr:row>2</xdr:row>
                    <xdr:rowOff>19050</xdr:rowOff>
                  </to>
                </anchor>
              </controlPr>
            </control>
          </mc:Choice>
        </mc:AlternateContent>
        <mc:AlternateContent xmlns:mc="http://schemas.openxmlformats.org/markup-compatibility/2006">
          <mc:Choice Requires="x14">
            <control shapeId="46090" r:id="rId4" name="Check Box 10">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46091" r:id="rId5" name="Check Box 11">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46092" r:id="rId6" name="Check Box 12">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46093" r:id="rId7" name="Check Box 13">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46094" r:id="rId8" name="Check Box 14">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46095" r:id="rId9" name="Check Box 15">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46096" r:id="rId10" name="Check Box 16">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46097" r:id="rId11" name="Check Box 17">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40"/>
  <sheetViews>
    <sheetView showGridLines="0" workbookViewId="0">
      <selection activeCell="D9" sqref="D9"/>
    </sheetView>
  </sheetViews>
  <sheetFormatPr defaultColWidth="10.84765625" defaultRowHeight="15.6"/>
  <cols>
    <col min="1" max="1" width="16.59765625" style="204" customWidth="1"/>
    <col min="2" max="2" width="106.84765625" style="1" customWidth="1"/>
    <col min="3" max="3" width="17.59765625" style="1" customWidth="1"/>
    <col min="4" max="4" width="21.09765625" style="1" customWidth="1"/>
    <col min="5" max="16384" width="10.84765625" style="1"/>
  </cols>
  <sheetData>
    <row r="1" spans="2:5" s="117" customFormat="1" ht="31.9" customHeight="1">
      <c r="B1" s="118" t="s">
        <v>438</v>
      </c>
      <c r="C1" s="252" t="s">
        <v>173</v>
      </c>
      <c r="D1" s="252"/>
      <c r="E1" s="252"/>
    </row>
    <row r="2" spans="2:5">
      <c r="B2" s="82" t="s">
        <v>293</v>
      </c>
    </row>
    <row r="3" spans="2:5">
      <c r="B3" s="82"/>
    </row>
    <row r="4" spans="2:5" customFormat="1" ht="54" customHeight="1">
      <c r="B4" s="84" t="s">
        <v>439</v>
      </c>
      <c r="C4" s="82"/>
    </row>
    <row r="5" spans="2:5" customFormat="1">
      <c r="B5" s="82"/>
    </row>
    <row r="6" spans="2:5" customFormat="1" ht="80.099999999999994" customHeight="1">
      <c r="B6" s="81" t="s">
        <v>305</v>
      </c>
      <c r="C6" s="86"/>
      <c r="D6" s="86"/>
    </row>
    <row r="7" spans="2:5">
      <c r="B7" s="82"/>
    </row>
    <row r="8" spans="2:5" s="3" customFormat="1" ht="40.15" customHeight="1">
      <c r="B8" s="83" t="s">
        <v>198</v>
      </c>
      <c r="C8" s="83" t="s">
        <v>296</v>
      </c>
      <c r="D8" s="79" t="s">
        <v>212</v>
      </c>
    </row>
    <row r="9" spans="2:5" ht="32.25" customHeight="1">
      <c r="B9" s="187" t="s">
        <v>440</v>
      </c>
      <c r="C9" s="212">
        <v>0</v>
      </c>
      <c r="D9" s="213"/>
    </row>
    <row r="10" spans="2:5" ht="73" customHeight="1">
      <c r="B10" s="192" t="s">
        <v>601</v>
      </c>
      <c r="C10" s="214">
        <v>1</v>
      </c>
      <c r="D10" s="215"/>
    </row>
    <row r="11" spans="2:5" ht="54" customHeight="1">
      <c r="B11" s="187" t="s">
        <v>441</v>
      </c>
      <c r="C11" s="212">
        <v>2</v>
      </c>
      <c r="D11" s="215"/>
    </row>
    <row r="12" spans="2:5" ht="49.5" customHeight="1">
      <c r="B12" s="188" t="s">
        <v>442</v>
      </c>
      <c r="C12" s="214">
        <v>3</v>
      </c>
      <c r="D12" s="215"/>
    </row>
    <row r="13" spans="2:5">
      <c r="B13" s="82"/>
      <c r="D13" s="73"/>
    </row>
    <row r="14" spans="2:5" ht="16" customHeight="1">
      <c r="B14" s="3" t="s">
        <v>283</v>
      </c>
      <c r="C14" s="82"/>
    </row>
    <row r="15" spans="2:5">
      <c r="B15" s="82"/>
      <c r="C15" s="82"/>
    </row>
    <row r="16" spans="2:5" ht="63" customHeight="1">
      <c r="B16" s="90" t="s">
        <v>197</v>
      </c>
      <c r="C16" s="86"/>
      <c r="D16" s="86"/>
    </row>
    <row r="18" spans="1:4" ht="16" customHeight="1">
      <c r="B18" s="82" t="s">
        <v>53</v>
      </c>
      <c r="C18" s="82"/>
      <c r="D18" s="82"/>
    </row>
    <row r="19" spans="1:4">
      <c r="B19" s="82"/>
    </row>
    <row r="20" spans="1:4" ht="64" customHeight="1">
      <c r="B20" s="90" t="s">
        <v>197</v>
      </c>
      <c r="C20" s="86"/>
      <c r="D20" s="86"/>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sheetData>
  <mergeCells count="1">
    <mergeCell ref="C1:E1"/>
  </mergeCells>
  <phoneticPr fontId="17" type="noConversion"/>
  <hyperlinks>
    <hyperlink ref="C1" location="'Advanced METT questions+scores'!A1" display="Back to 'Advanced METT questions and scores'" xr:uid="{00000000-0004-0000-0700-000000000000}"/>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7105" r:id="rId3" name="Check Box 1">
              <controlPr locked="0" defaultSize="0" autoFill="0" autoLine="0" autoPict="0">
                <anchor moveWithCells="1">
                  <from>
                    <xdr:col>1</xdr:col>
                    <xdr:colOff>2640330</xdr:colOff>
                    <xdr:row>1</xdr:row>
                    <xdr:rowOff>11430</xdr:rowOff>
                  </from>
                  <to>
                    <xdr:col>1</xdr:col>
                    <xdr:colOff>3448050</xdr:colOff>
                    <xdr:row>2</xdr:row>
                    <xdr:rowOff>19050</xdr:rowOff>
                  </to>
                </anchor>
              </controlPr>
            </control>
          </mc:Choice>
        </mc:AlternateContent>
        <mc:AlternateContent xmlns:mc="http://schemas.openxmlformats.org/markup-compatibility/2006">
          <mc:Choice Requires="x14">
            <control shapeId="47114" r:id="rId4" name="Check Box 10">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47115" r:id="rId5" name="Check Box 11">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47116" r:id="rId6" name="Check Box 12">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47117" r:id="rId7" name="Check Box 13">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47118" r:id="rId8" name="Check Box 14">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47119" r:id="rId9" name="Check Box 15">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47120" r:id="rId10" name="Check Box 16">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47121" r:id="rId11" name="Check Box 17">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E45"/>
  <sheetViews>
    <sheetView showGridLines="0" workbookViewId="0">
      <selection activeCell="C1" sqref="C1:E1"/>
    </sheetView>
  </sheetViews>
  <sheetFormatPr defaultColWidth="10.84765625" defaultRowHeight="15.6"/>
  <cols>
    <col min="1" max="1" width="16.59765625" style="204" customWidth="1"/>
    <col min="2" max="2" width="106.84765625" style="1" customWidth="1"/>
    <col min="3" max="3" width="17.59765625" style="1" customWidth="1"/>
    <col min="4" max="4" width="23.59765625" style="1" customWidth="1"/>
    <col min="5" max="16384" width="10.84765625" style="1"/>
  </cols>
  <sheetData>
    <row r="1" spans="2:5" s="117" customFormat="1" ht="29.5" customHeight="1">
      <c r="B1" s="118" t="s">
        <v>443</v>
      </c>
      <c r="C1" s="252" t="s">
        <v>173</v>
      </c>
      <c r="D1" s="252"/>
      <c r="E1" s="252"/>
    </row>
    <row r="2" spans="2:5">
      <c r="B2" s="82" t="s">
        <v>293</v>
      </c>
    </row>
    <row r="3" spans="2:5">
      <c r="B3" s="82"/>
    </row>
    <row r="4" spans="2:5" ht="38.1" customHeight="1">
      <c r="B4" s="84" t="s">
        <v>444</v>
      </c>
      <c r="C4" s="52"/>
      <c r="D4" s="52"/>
    </row>
    <row r="5" spans="2:5">
      <c r="B5" s="52"/>
    </row>
    <row r="6" spans="2:5" ht="78" customHeight="1">
      <c r="B6" s="81" t="s">
        <v>306</v>
      </c>
      <c r="C6" s="86"/>
      <c r="D6" s="86"/>
    </row>
    <row r="7" spans="2:5">
      <c r="B7" s="82"/>
    </row>
    <row r="8" spans="2:5" s="3" customFormat="1" ht="40.15" customHeight="1">
      <c r="B8" s="83" t="s">
        <v>198</v>
      </c>
      <c r="C8" s="83" t="s">
        <v>296</v>
      </c>
      <c r="D8" s="79" t="s">
        <v>212</v>
      </c>
    </row>
    <row r="9" spans="2:5" ht="38.65" customHeight="1">
      <c r="B9" s="187" t="s">
        <v>445</v>
      </c>
      <c r="C9" s="212">
        <v>0</v>
      </c>
      <c r="D9" s="212"/>
    </row>
    <row r="10" spans="2:5" ht="47.65" customHeight="1">
      <c r="B10" s="188" t="s">
        <v>446</v>
      </c>
      <c r="C10" s="214">
        <v>1</v>
      </c>
      <c r="D10" s="215"/>
    </row>
    <row r="11" spans="2:5" ht="48.4" customHeight="1">
      <c r="B11" s="187" t="s">
        <v>447</v>
      </c>
      <c r="C11" s="212">
        <v>2</v>
      </c>
      <c r="D11" s="215"/>
    </row>
    <row r="12" spans="2:5" ht="51.6" customHeight="1">
      <c r="B12" s="188" t="s">
        <v>448</v>
      </c>
      <c r="C12" s="214">
        <v>3</v>
      </c>
      <c r="D12" s="215"/>
    </row>
    <row r="13" spans="2:5">
      <c r="D13" s="73"/>
    </row>
    <row r="14" spans="2:5" ht="16" customHeight="1">
      <c r="B14" s="3" t="s">
        <v>283</v>
      </c>
      <c r="C14" s="82"/>
    </row>
    <row r="15" spans="2:5">
      <c r="B15" s="82"/>
      <c r="C15" s="82"/>
    </row>
    <row r="16" spans="2:5" ht="63" customHeight="1">
      <c r="B16" s="90" t="s">
        <v>197</v>
      </c>
      <c r="C16" s="86"/>
      <c r="D16" s="86"/>
    </row>
    <row r="18" spans="1:4" ht="16" customHeight="1">
      <c r="B18" s="82" t="s">
        <v>53</v>
      </c>
      <c r="C18" s="82"/>
      <c r="D18" s="82"/>
    </row>
    <row r="19" spans="1:4">
      <c r="B19" s="82"/>
    </row>
    <row r="20" spans="1:4" ht="64" customHeight="1">
      <c r="B20" s="90" t="s">
        <v>197</v>
      </c>
      <c r="C20" s="86"/>
      <c r="D20" s="86"/>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c r="A41" s="206"/>
      <c r="B41" s="207"/>
    </row>
    <row r="42" spans="1:2">
      <c r="A42" s="206"/>
      <c r="B42" s="207"/>
    </row>
    <row r="43" spans="1:2">
      <c r="A43" s="206"/>
      <c r="B43" s="207"/>
    </row>
    <row r="44" spans="1:2">
      <c r="A44" s="206"/>
      <c r="B44" s="207"/>
    </row>
    <row r="45" spans="1:2">
      <c r="A45" s="206"/>
      <c r="B45" s="207"/>
    </row>
  </sheetData>
  <mergeCells count="1">
    <mergeCell ref="C1:E1"/>
  </mergeCells>
  <phoneticPr fontId="17" type="noConversion"/>
  <hyperlinks>
    <hyperlink ref="C1" location="'Advanced METT questions+scores'!A1" display="Back to 'Advanced METT questions and scores'" xr:uid="{00000000-0004-0000-0800-000000000000}"/>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8129" r:id="rId3" name="Check Box 1">
              <controlPr locked="0" defaultSize="0" autoFill="0" autoLine="0" autoPict="0">
                <anchor moveWithCells="1">
                  <from>
                    <xdr:col>1</xdr:col>
                    <xdr:colOff>2640330</xdr:colOff>
                    <xdr:row>1</xdr:row>
                    <xdr:rowOff>0</xdr:rowOff>
                  </from>
                  <to>
                    <xdr:col>1</xdr:col>
                    <xdr:colOff>3448050</xdr:colOff>
                    <xdr:row>2</xdr:row>
                    <xdr:rowOff>11430</xdr:rowOff>
                  </to>
                </anchor>
              </controlPr>
            </control>
          </mc:Choice>
        </mc:AlternateContent>
        <mc:AlternateContent xmlns:mc="http://schemas.openxmlformats.org/markup-compatibility/2006">
          <mc:Choice Requires="x14">
            <control shapeId="48130"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48131"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48132"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48133"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48134"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48135"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48136"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48137"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E45"/>
  <sheetViews>
    <sheetView showGridLines="0" workbookViewId="0">
      <selection activeCell="D9" sqref="D9"/>
    </sheetView>
  </sheetViews>
  <sheetFormatPr defaultColWidth="10.84765625" defaultRowHeight="15.6"/>
  <cols>
    <col min="1" max="1" width="16.59765625" style="204" customWidth="1"/>
    <col min="2" max="2" width="122.84765625" style="1" customWidth="1"/>
    <col min="3" max="4" width="20.34765625" style="1" customWidth="1"/>
    <col min="5" max="16384" width="10.84765625" style="1"/>
  </cols>
  <sheetData>
    <row r="1" spans="2:5" s="117" customFormat="1" ht="28.15" customHeight="1">
      <c r="B1" s="118" t="s">
        <v>449</v>
      </c>
      <c r="C1" s="252" t="s">
        <v>173</v>
      </c>
      <c r="D1" s="252"/>
      <c r="E1" s="252"/>
    </row>
    <row r="2" spans="2:5" ht="16" customHeight="1">
      <c r="B2" s="1" t="s">
        <v>293</v>
      </c>
    </row>
    <row r="3" spans="2:5" ht="16" customHeight="1">
      <c r="B3" s="85"/>
    </row>
    <row r="4" spans="2:5" ht="61" customHeight="1">
      <c r="B4" s="84" t="s">
        <v>5</v>
      </c>
      <c r="C4" s="82"/>
      <c r="D4" s="82"/>
    </row>
    <row r="5" spans="2:5">
      <c r="B5" s="82"/>
    </row>
    <row r="6" spans="2:5" ht="61.9" customHeight="1">
      <c r="B6" s="81" t="s">
        <v>307</v>
      </c>
      <c r="C6" s="86"/>
      <c r="D6" s="86"/>
    </row>
    <row r="7" spans="2:5">
      <c r="B7" s="82"/>
    </row>
    <row r="8" spans="2:5" s="3" customFormat="1" ht="41.1" customHeight="1">
      <c r="B8" s="83" t="s">
        <v>198</v>
      </c>
      <c r="C8" s="83" t="s">
        <v>296</v>
      </c>
      <c r="D8" s="79" t="s">
        <v>212</v>
      </c>
    </row>
    <row r="9" spans="2:5" ht="36" customHeight="1">
      <c r="B9" s="119" t="s">
        <v>6</v>
      </c>
      <c r="C9" s="212">
        <v>0</v>
      </c>
      <c r="D9" s="212"/>
    </row>
    <row r="10" spans="2:5" ht="37.5" customHeight="1">
      <c r="B10" s="188" t="s">
        <v>450</v>
      </c>
      <c r="C10" s="214">
        <v>1</v>
      </c>
      <c r="D10" s="215"/>
    </row>
    <row r="11" spans="2:5" ht="28.5" customHeight="1">
      <c r="B11" s="187" t="s">
        <v>451</v>
      </c>
      <c r="C11" s="212">
        <v>2</v>
      </c>
      <c r="D11" s="215"/>
    </row>
    <row r="12" spans="2:5" ht="40.5" customHeight="1">
      <c r="B12" s="188" t="s">
        <v>452</v>
      </c>
      <c r="C12" s="214">
        <v>3</v>
      </c>
      <c r="D12" s="215"/>
    </row>
    <row r="13" spans="2:5">
      <c r="D13" s="73"/>
    </row>
    <row r="14" spans="2:5" ht="16" customHeight="1">
      <c r="B14" s="3" t="s">
        <v>283</v>
      </c>
      <c r="C14" s="82"/>
    </row>
    <row r="15" spans="2:5">
      <c r="B15" s="82"/>
      <c r="C15" s="82"/>
    </row>
    <row r="16" spans="2:5" ht="63" customHeight="1">
      <c r="B16" s="90" t="s">
        <v>197</v>
      </c>
      <c r="C16" s="86"/>
      <c r="D16" s="86"/>
    </row>
    <row r="18" spans="1:4" ht="16" customHeight="1">
      <c r="B18" s="82" t="s">
        <v>53</v>
      </c>
      <c r="C18" s="82"/>
      <c r="D18" s="82"/>
    </row>
    <row r="19" spans="1:4">
      <c r="B19" s="82"/>
    </row>
    <row r="20" spans="1:4" ht="64" customHeight="1">
      <c r="B20" s="90" t="s">
        <v>197</v>
      </c>
      <c r="C20" s="86"/>
      <c r="D20" s="86"/>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0900-000000000000}"/>
  </hyperlinks>
  <pageMargins left="0.7" right="0.7" top="0.75" bottom="0.75" header="0.3" footer="0.3"/>
  <pageSetup paperSize="9" scale="87" orientation="portrait" horizontalDpi="0" verticalDpi="0"/>
  <rowBreaks count="1" manualBreakCount="1">
    <brk id="24"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49158" r:id="rId3" name="Check Box 6">
              <controlPr locked="0" defaultSize="0" autoFill="0" autoLine="0" autoPict="0">
                <anchor moveWithCells="1">
                  <from>
                    <xdr:col>1</xdr:col>
                    <xdr:colOff>2495550</xdr:colOff>
                    <xdr:row>1</xdr:row>
                    <xdr:rowOff>11430</xdr:rowOff>
                  </from>
                  <to>
                    <xdr:col>1</xdr:col>
                    <xdr:colOff>3307080</xdr:colOff>
                    <xdr:row>2</xdr:row>
                    <xdr:rowOff>19050</xdr:rowOff>
                  </to>
                </anchor>
              </controlPr>
            </control>
          </mc:Choice>
        </mc:AlternateContent>
        <mc:AlternateContent xmlns:mc="http://schemas.openxmlformats.org/markup-compatibility/2006">
          <mc:Choice Requires="x14">
            <control shapeId="49159" r:id="rId4" name="Check Box 7">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49160" r:id="rId5" name="Check Box 8">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49161" r:id="rId6" name="Check Box 9">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49162" r:id="rId7" name="Check Box 10">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49163" r:id="rId8" name="Check Box 11">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49164" r:id="rId9" name="Check Box 12">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49165" r:id="rId10" name="Check Box 13">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49166" r:id="rId11" name="Check Box 14">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E45"/>
  <sheetViews>
    <sheetView showGridLines="0" workbookViewId="0">
      <selection activeCell="D9" sqref="D9"/>
    </sheetView>
  </sheetViews>
  <sheetFormatPr defaultColWidth="10.84765625" defaultRowHeight="15.6"/>
  <cols>
    <col min="1" max="1" width="16.59765625" style="204" customWidth="1"/>
    <col min="2" max="2" width="111.34765625" style="1" customWidth="1"/>
    <col min="3" max="3" width="18.34765625" style="1" customWidth="1"/>
    <col min="4" max="4" width="20.59765625" style="1" customWidth="1"/>
    <col min="5" max="16384" width="10.84765625" style="1"/>
  </cols>
  <sheetData>
    <row r="1" spans="2:5" s="85" customFormat="1" ht="31.9" customHeight="1">
      <c r="B1" s="118" t="s">
        <v>453</v>
      </c>
      <c r="C1" s="253" t="s">
        <v>173</v>
      </c>
      <c r="D1" s="253"/>
      <c r="E1" s="253"/>
    </row>
    <row r="2" spans="2:5" s="85" customFormat="1" ht="23.25" customHeight="1">
      <c r="B2" s="147" t="s">
        <v>293</v>
      </c>
      <c r="C2" s="145"/>
      <c r="D2" s="145"/>
      <c r="E2" s="145"/>
    </row>
    <row r="3" spans="2:5">
      <c r="B3" s="82"/>
    </row>
    <row r="4" spans="2:5" ht="39.6" customHeight="1">
      <c r="B4" s="84" t="s">
        <v>7</v>
      </c>
      <c r="C4" s="82"/>
      <c r="D4" s="82"/>
    </row>
    <row r="5" spans="2:5">
      <c r="B5" s="82"/>
    </row>
    <row r="6" spans="2:5" ht="139.5" customHeight="1">
      <c r="B6" s="81" t="s">
        <v>454</v>
      </c>
      <c r="C6" s="86"/>
      <c r="D6" s="86"/>
    </row>
    <row r="7" spans="2:5">
      <c r="B7" s="82"/>
    </row>
    <row r="8" spans="2:5" s="3" customFormat="1" ht="42.6" customHeight="1">
      <c r="B8" s="83" t="s">
        <v>198</v>
      </c>
      <c r="C8" s="83" t="s">
        <v>296</v>
      </c>
      <c r="D8" s="79" t="s">
        <v>212</v>
      </c>
    </row>
    <row r="9" spans="2:5" ht="30.75" customHeight="1">
      <c r="B9" s="187" t="s">
        <v>455</v>
      </c>
      <c r="C9" s="218">
        <v>0</v>
      </c>
      <c r="D9" s="212"/>
    </row>
    <row r="10" spans="2:5" ht="30" customHeight="1">
      <c r="B10" s="188" t="s">
        <v>456</v>
      </c>
      <c r="C10" s="214">
        <v>1</v>
      </c>
      <c r="D10" s="215"/>
    </row>
    <row r="11" spans="2:5" ht="42" customHeight="1">
      <c r="B11" s="187" t="s">
        <v>457</v>
      </c>
      <c r="C11" s="212">
        <v>2</v>
      </c>
      <c r="D11" s="215"/>
    </row>
    <row r="12" spans="2:5" ht="42" customHeight="1">
      <c r="B12" s="188" t="s">
        <v>458</v>
      </c>
      <c r="C12" s="214">
        <v>3</v>
      </c>
      <c r="D12" s="215"/>
    </row>
    <row r="13" spans="2:5">
      <c r="D13" s="73"/>
    </row>
    <row r="14" spans="2:5" ht="16" customHeight="1">
      <c r="B14" s="3" t="s">
        <v>283</v>
      </c>
      <c r="C14" s="82"/>
    </row>
    <row r="15" spans="2:5">
      <c r="B15" s="82"/>
      <c r="C15" s="82"/>
    </row>
    <row r="16" spans="2:5" ht="63" customHeight="1">
      <c r="B16" s="90" t="s">
        <v>197</v>
      </c>
      <c r="C16" s="86"/>
      <c r="D16" s="86"/>
    </row>
    <row r="18" spans="1:4" ht="16" customHeight="1">
      <c r="B18" s="82" t="s">
        <v>53</v>
      </c>
      <c r="C18" s="82"/>
      <c r="D18" s="82"/>
    </row>
    <row r="19" spans="1:4">
      <c r="B19" s="82"/>
    </row>
    <row r="20" spans="1:4" ht="64" customHeight="1">
      <c r="B20" s="90" t="s">
        <v>197</v>
      </c>
      <c r="C20" s="86"/>
      <c r="D20" s="86"/>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0A00-000000000000}"/>
  </hyperlinks>
  <pageMargins left="0.7" right="0.7" top="0.75" bottom="0.75" header="0.3" footer="0.3"/>
  <pageSetup paperSize="9" scale="96" orientation="portrait" horizontalDpi="0" verticalDpi="0"/>
  <rowBreaks count="1" manualBreakCount="1">
    <brk id="24"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50177" r:id="rId3" name="Check Box 1">
              <controlPr locked="0" defaultSize="0" autoFill="0" autoLine="0" autoPict="0">
                <anchor moveWithCells="1">
                  <from>
                    <xdr:col>1</xdr:col>
                    <xdr:colOff>2449830</xdr:colOff>
                    <xdr:row>1</xdr:row>
                    <xdr:rowOff>49530</xdr:rowOff>
                  </from>
                  <to>
                    <xdr:col>1</xdr:col>
                    <xdr:colOff>3257550</xdr:colOff>
                    <xdr:row>1</xdr:row>
                    <xdr:rowOff>259080</xdr:rowOff>
                  </to>
                </anchor>
              </controlPr>
            </control>
          </mc:Choice>
        </mc:AlternateContent>
        <mc:AlternateContent xmlns:mc="http://schemas.openxmlformats.org/markup-compatibility/2006">
          <mc:Choice Requires="x14">
            <control shapeId="50178"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50179"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50180"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50181"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50182"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50183"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50184"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50185"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E45"/>
  <sheetViews>
    <sheetView showGridLines="0" workbookViewId="0">
      <selection activeCell="D9" sqref="D9"/>
    </sheetView>
  </sheetViews>
  <sheetFormatPr defaultColWidth="10.84765625" defaultRowHeight="15.6"/>
  <cols>
    <col min="1" max="1" width="16.59765625" style="204" customWidth="1"/>
    <col min="2" max="2" width="106.84765625" style="1" customWidth="1"/>
    <col min="3" max="3" width="17.59765625" style="1" customWidth="1"/>
    <col min="4" max="4" width="20.34765625" style="1" customWidth="1"/>
    <col min="5" max="16384" width="10.84765625" style="1"/>
  </cols>
  <sheetData>
    <row r="1" spans="1:5" s="118" customFormat="1" ht="31.5" customHeight="1">
      <c r="A1" s="202"/>
      <c r="B1" s="118" t="s">
        <v>459</v>
      </c>
      <c r="C1" s="254" t="s">
        <v>173</v>
      </c>
      <c r="D1" s="254"/>
      <c r="E1" s="254"/>
    </row>
    <row r="2" spans="1:5">
      <c r="B2" s="148" t="s">
        <v>293</v>
      </c>
    </row>
    <row r="3" spans="1:5">
      <c r="B3" s="82"/>
    </row>
    <row r="4" spans="1:5" ht="37.9" customHeight="1">
      <c r="B4" s="84" t="s">
        <v>460</v>
      </c>
      <c r="C4" s="82"/>
      <c r="D4" s="82"/>
    </row>
    <row r="5" spans="1:5">
      <c r="B5" s="82"/>
    </row>
    <row r="6" spans="1:5" ht="65.25" customHeight="1">
      <c r="B6" s="81" t="s">
        <v>308</v>
      </c>
      <c r="C6" s="86"/>
      <c r="D6" s="86"/>
    </row>
    <row r="7" spans="1:5">
      <c r="B7" s="82"/>
    </row>
    <row r="8" spans="1:5" s="3" customFormat="1" ht="43.15" customHeight="1">
      <c r="B8" s="83" t="s">
        <v>198</v>
      </c>
      <c r="C8" s="83" t="s">
        <v>296</v>
      </c>
      <c r="D8" s="79" t="s">
        <v>212</v>
      </c>
    </row>
    <row r="9" spans="1:5" ht="30" customHeight="1">
      <c r="B9" s="120" t="s">
        <v>461</v>
      </c>
      <c r="C9" s="212">
        <v>0</v>
      </c>
      <c r="D9" s="213"/>
    </row>
    <row r="10" spans="1:5" ht="35.5" customHeight="1">
      <c r="B10" s="24" t="s">
        <v>462</v>
      </c>
      <c r="C10" s="214">
        <v>1</v>
      </c>
      <c r="D10" s="215"/>
    </row>
    <row r="11" spans="1:5" ht="36.75" customHeight="1">
      <c r="B11" s="120" t="s">
        <v>463</v>
      </c>
      <c r="C11" s="212">
        <v>2</v>
      </c>
      <c r="D11" s="215"/>
    </row>
    <row r="12" spans="1:5" ht="33" customHeight="1">
      <c r="B12" s="24" t="s">
        <v>464</v>
      </c>
      <c r="C12" s="214">
        <v>3</v>
      </c>
      <c r="D12" s="215"/>
    </row>
    <row r="13" spans="1:5">
      <c r="B13" s="6"/>
      <c r="D13" s="73"/>
    </row>
    <row r="14" spans="1:5" ht="16" customHeight="1">
      <c r="B14" s="3" t="s">
        <v>283</v>
      </c>
      <c r="C14" s="82"/>
    </row>
    <row r="15" spans="1:5">
      <c r="B15" s="82"/>
      <c r="C15" s="82"/>
    </row>
    <row r="16" spans="1:5" ht="63" customHeight="1">
      <c r="B16" s="90" t="s">
        <v>197</v>
      </c>
      <c r="C16" s="86"/>
      <c r="D16" s="86"/>
    </row>
    <row r="18" spans="1:4" ht="16" customHeight="1">
      <c r="B18" s="82" t="s">
        <v>53</v>
      </c>
      <c r="C18" s="82"/>
      <c r="D18" s="82"/>
    </row>
    <row r="19" spans="1:4">
      <c r="B19" s="82"/>
    </row>
    <row r="20" spans="1:4" ht="64" customHeight="1">
      <c r="B20" s="90" t="s">
        <v>197</v>
      </c>
      <c r="C20" s="86"/>
      <c r="D20" s="86"/>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0B00-000000000000}"/>
  </hyperlinks>
  <pageMargins left="0.7" right="0.7" top="0.75" bottom="0.75" header="0.3" footer="0.3"/>
  <pageSetup paperSize="9" scale="62" orientation="portrait" horizontalDpi="0" verticalDpi="0"/>
  <rowBreaks count="1" manualBreakCount="1">
    <brk id="23"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51201" r:id="rId3" name="Check Box 1">
              <controlPr locked="0" defaultSize="0" autoFill="0" autoLine="0" autoPict="0">
                <anchor moveWithCells="1">
                  <from>
                    <xdr:col>1</xdr:col>
                    <xdr:colOff>2487930</xdr:colOff>
                    <xdr:row>1</xdr:row>
                    <xdr:rowOff>11430</xdr:rowOff>
                  </from>
                  <to>
                    <xdr:col>1</xdr:col>
                    <xdr:colOff>3295650</xdr:colOff>
                    <xdr:row>2</xdr:row>
                    <xdr:rowOff>19050</xdr:rowOff>
                  </to>
                </anchor>
              </controlPr>
            </control>
          </mc:Choice>
        </mc:AlternateContent>
        <mc:AlternateContent xmlns:mc="http://schemas.openxmlformats.org/markup-compatibility/2006">
          <mc:Choice Requires="x14">
            <control shapeId="51202"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51203"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51204"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51205"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51206"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51207"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51208"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51209"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dimension ref="A1:E43"/>
  <sheetViews>
    <sheetView showGridLines="0" workbookViewId="0">
      <selection activeCell="D8" sqref="D8"/>
    </sheetView>
  </sheetViews>
  <sheetFormatPr defaultColWidth="10.84765625" defaultRowHeight="15.6"/>
  <cols>
    <col min="1" max="1" width="16.59765625" customWidth="1"/>
    <col min="2" max="2" width="106.84765625" customWidth="1"/>
    <col min="3" max="4" width="17.59765625" customWidth="1"/>
  </cols>
  <sheetData>
    <row r="1" spans="1:5" s="85" customFormat="1" ht="21" customHeight="1">
      <c r="B1" s="85" t="s">
        <v>196</v>
      </c>
      <c r="C1" s="255" t="s">
        <v>173</v>
      </c>
      <c r="D1" s="255"/>
      <c r="E1" s="255"/>
    </row>
    <row r="2" spans="1:5" s="85" customFormat="1" ht="15" customHeight="1">
      <c r="B2" s="1" t="s">
        <v>293</v>
      </c>
      <c r="C2" s="146"/>
      <c r="D2" s="146"/>
      <c r="E2" s="146"/>
    </row>
    <row r="3" spans="1:5" s="1" customFormat="1">
      <c r="A3" s="204"/>
      <c r="B3" s="82"/>
    </row>
    <row r="4" spans="1:5" s="1" customFormat="1" ht="240.75" customHeight="1">
      <c r="A4" s="204"/>
      <c r="B4" s="81" t="s">
        <v>309</v>
      </c>
      <c r="C4" s="86"/>
      <c r="D4" s="86"/>
    </row>
    <row r="5" spans="1:5" s="1" customFormat="1">
      <c r="A5" s="204"/>
      <c r="B5" s="82"/>
    </row>
    <row r="6" spans="1:5" s="1" customFormat="1">
      <c r="A6" s="204"/>
      <c r="B6" s="6"/>
    </row>
    <row r="7" spans="1:5" s="1" customFormat="1" ht="31.2">
      <c r="A7" s="204"/>
      <c r="B7" s="87" t="s">
        <v>465</v>
      </c>
      <c r="C7" s="78" t="s">
        <v>199</v>
      </c>
      <c r="D7" s="72" t="s">
        <v>216</v>
      </c>
    </row>
    <row r="8" spans="1:5" s="1" customFormat="1" ht="48" customHeight="1">
      <c r="A8" s="204"/>
      <c r="B8" s="120" t="s">
        <v>466</v>
      </c>
      <c r="C8" s="143"/>
      <c r="D8" s="212"/>
    </row>
    <row r="9" spans="1:5" s="1" customFormat="1" ht="42.75" customHeight="1">
      <c r="A9" s="204"/>
      <c r="B9" s="24" t="s">
        <v>467</v>
      </c>
      <c r="C9" s="125"/>
      <c r="D9" s="73"/>
    </row>
    <row r="10" spans="1:5" s="1" customFormat="1" ht="41.25" customHeight="1">
      <c r="A10" s="204"/>
      <c r="B10" s="120" t="s">
        <v>468</v>
      </c>
      <c r="C10" s="143"/>
      <c r="D10" s="73"/>
    </row>
    <row r="11" spans="1:5" s="1" customFormat="1">
      <c r="A11" s="204"/>
      <c r="D11" s="73"/>
    </row>
    <row r="12" spans="1:5" s="1" customFormat="1" ht="16" customHeight="1">
      <c r="A12" s="204"/>
      <c r="B12" s="3" t="s">
        <v>284</v>
      </c>
      <c r="C12" s="82"/>
    </row>
    <row r="13" spans="1:5" s="1" customFormat="1">
      <c r="A13" s="204"/>
      <c r="B13" s="82"/>
      <c r="C13" s="82"/>
    </row>
    <row r="14" spans="1:5" s="1" customFormat="1" ht="63" customHeight="1">
      <c r="A14" s="204"/>
      <c r="B14" s="90" t="s">
        <v>197</v>
      </c>
      <c r="C14" s="86"/>
      <c r="D14" s="86"/>
    </row>
    <row r="15" spans="1:5" s="1" customFormat="1">
      <c r="A15" s="204"/>
    </row>
    <row r="16" spans="1:5" s="1" customFormat="1" ht="16" customHeight="1">
      <c r="A16" s="204"/>
      <c r="B16" s="82" t="s">
        <v>200</v>
      </c>
      <c r="C16" s="82"/>
      <c r="D16" s="82"/>
    </row>
    <row r="17" spans="1:4" s="1" customFormat="1">
      <c r="A17" s="204"/>
      <c r="B17" s="82"/>
    </row>
    <row r="18" spans="1:4" s="1" customFormat="1" ht="64" customHeight="1">
      <c r="A18" s="204"/>
      <c r="B18" s="90" t="s">
        <v>197</v>
      </c>
      <c r="C18" s="86"/>
      <c r="D18" s="86"/>
    </row>
    <row r="19" spans="1:4" s="1" customFormat="1">
      <c r="A19" s="204"/>
      <c r="B19" s="71"/>
      <c r="C19" s="84"/>
      <c r="D19" s="84"/>
    </row>
    <row r="20" spans="1:4" s="204" customFormat="1" ht="30.75" customHeight="1">
      <c r="B20" s="205" t="s">
        <v>647</v>
      </c>
      <c r="C20" s="205"/>
    </row>
    <row r="21" spans="1:4" s="204" customFormat="1">
      <c r="B21" s="205"/>
      <c r="C21" s="205"/>
    </row>
    <row r="22" spans="1:4" s="204" customFormat="1">
      <c r="B22" s="80"/>
    </row>
    <row r="23" spans="1:4" s="204" customFormat="1">
      <c r="B23" s="12"/>
    </row>
    <row r="24" spans="1:4" s="204" customFormat="1" ht="16" customHeight="1">
      <c r="B24" s="80"/>
    </row>
    <row r="25" spans="1:4" s="204" customFormat="1" ht="16" customHeight="1">
      <c r="B25" s="12"/>
    </row>
    <row r="26" spans="1:4" s="204" customFormat="1">
      <c r="B26" s="80"/>
    </row>
    <row r="27" spans="1:4" s="204" customFormat="1">
      <c r="B27" s="12"/>
    </row>
    <row r="28" spans="1:4" s="204" customFormat="1">
      <c r="B28" s="80"/>
    </row>
    <row r="29" spans="1:4" s="204" customFormat="1">
      <c r="B29" s="12"/>
    </row>
    <row r="30" spans="1:4" s="204" customFormat="1">
      <c r="A30" s="206"/>
      <c r="B30" s="207"/>
    </row>
    <row r="31" spans="1:4" s="204" customFormat="1">
      <c r="A31" s="206"/>
      <c r="B31" s="207"/>
    </row>
    <row r="32" spans="1:4" s="204" customFormat="1">
      <c r="A32" s="206"/>
      <c r="B32" s="206"/>
    </row>
    <row r="33" spans="1:2" s="204" customFormat="1"/>
    <row r="34" spans="1:2" s="204" customFormat="1"/>
    <row r="35" spans="1:2" s="204" customFormat="1"/>
    <row r="36" spans="1:2" s="204" customFormat="1"/>
    <row r="37" spans="1:2" s="204" customFormat="1"/>
    <row r="38" spans="1:2" s="204" customFormat="1"/>
    <row r="39" spans="1:2" s="204" customFormat="1">
      <c r="A39" s="206"/>
      <c r="B39" s="207"/>
    </row>
    <row r="40" spans="1:2" s="204" customFormat="1">
      <c r="A40" s="206"/>
      <c r="B40" s="207"/>
    </row>
    <row r="41" spans="1:2" s="204" customFormat="1">
      <c r="A41" s="206"/>
      <c r="B41" s="207"/>
    </row>
    <row r="42" spans="1:2" s="204" customFormat="1">
      <c r="A42" s="206"/>
      <c r="B42" s="207"/>
    </row>
    <row r="43" spans="1:2" s="204" customFormat="1">
      <c r="A43" s="206"/>
      <c r="B43" s="207"/>
    </row>
  </sheetData>
  <mergeCells count="1">
    <mergeCell ref="C1:E1"/>
  </mergeCells>
  <hyperlinks>
    <hyperlink ref="C1" location="'Advanced METT questions+scores'!A1" display="Back to 'Advanced METT questions and scores'" xr:uid="{00000000-0004-0000-0C00-000000000000}"/>
  </hyperlink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459" r:id="rId4" name="Check Box 3">
              <controlPr defaultSize="0" autoFill="0" autoLine="0" autoPict="0">
                <anchor moveWithCells="1">
                  <from>
                    <xdr:col>2</xdr:col>
                    <xdr:colOff>621030</xdr:colOff>
                    <xdr:row>7</xdr:row>
                    <xdr:rowOff>335280</xdr:rowOff>
                  </from>
                  <to>
                    <xdr:col>3</xdr:col>
                    <xdr:colOff>19050</xdr:colOff>
                    <xdr:row>7</xdr:row>
                    <xdr:rowOff>552450</xdr:rowOff>
                  </to>
                </anchor>
              </controlPr>
            </control>
          </mc:Choice>
        </mc:AlternateContent>
        <mc:AlternateContent xmlns:mc="http://schemas.openxmlformats.org/markup-compatibility/2006">
          <mc:Choice Requires="x14">
            <control shapeId="19460" r:id="rId5" name="Check Box 4">
              <controlPr defaultSize="0" autoFill="0" autoLine="0" autoPict="0">
                <anchor moveWithCells="1">
                  <from>
                    <xdr:col>2</xdr:col>
                    <xdr:colOff>621030</xdr:colOff>
                    <xdr:row>8</xdr:row>
                    <xdr:rowOff>335280</xdr:rowOff>
                  </from>
                  <to>
                    <xdr:col>3</xdr:col>
                    <xdr:colOff>19050</xdr:colOff>
                    <xdr:row>9</xdr:row>
                    <xdr:rowOff>11430</xdr:rowOff>
                  </to>
                </anchor>
              </controlPr>
            </control>
          </mc:Choice>
        </mc:AlternateContent>
        <mc:AlternateContent xmlns:mc="http://schemas.openxmlformats.org/markup-compatibility/2006">
          <mc:Choice Requires="x14">
            <control shapeId="19461" r:id="rId6" name="Check Box 5">
              <controlPr defaultSize="0" autoFill="0" autoLine="0" autoPict="0">
                <anchor moveWithCells="1">
                  <from>
                    <xdr:col>2</xdr:col>
                    <xdr:colOff>621030</xdr:colOff>
                    <xdr:row>9</xdr:row>
                    <xdr:rowOff>335280</xdr:rowOff>
                  </from>
                  <to>
                    <xdr:col>3</xdr:col>
                    <xdr:colOff>19050</xdr:colOff>
                    <xdr:row>10</xdr:row>
                    <xdr:rowOff>30480</xdr:rowOff>
                  </to>
                </anchor>
              </controlPr>
            </control>
          </mc:Choice>
        </mc:AlternateContent>
        <mc:AlternateContent xmlns:mc="http://schemas.openxmlformats.org/markup-compatibility/2006">
          <mc:Choice Requires="x14">
            <control shapeId="19462" r:id="rId7" name="Check Box 6">
              <controlPr defaultSize="0" autoFill="0" autoLine="0" autoPict="0">
                <anchor moveWithCells="1">
                  <from>
                    <xdr:col>2</xdr:col>
                    <xdr:colOff>621030</xdr:colOff>
                    <xdr:row>7</xdr:row>
                    <xdr:rowOff>335280</xdr:rowOff>
                  </from>
                  <to>
                    <xdr:col>3</xdr:col>
                    <xdr:colOff>19050</xdr:colOff>
                    <xdr:row>7</xdr:row>
                    <xdr:rowOff>552450</xdr:rowOff>
                  </to>
                </anchor>
              </controlPr>
            </control>
          </mc:Choice>
        </mc:AlternateContent>
        <mc:AlternateContent xmlns:mc="http://schemas.openxmlformats.org/markup-compatibility/2006">
          <mc:Choice Requires="x14">
            <control shapeId="19463" r:id="rId8" name="Check Box 7">
              <controlPr defaultSize="0" autoFill="0" autoLine="0" autoPict="0">
                <anchor moveWithCells="1">
                  <from>
                    <xdr:col>2</xdr:col>
                    <xdr:colOff>621030</xdr:colOff>
                    <xdr:row>8</xdr:row>
                    <xdr:rowOff>335280</xdr:rowOff>
                  </from>
                  <to>
                    <xdr:col>3</xdr:col>
                    <xdr:colOff>19050</xdr:colOff>
                    <xdr:row>9</xdr:row>
                    <xdr:rowOff>11430</xdr:rowOff>
                  </to>
                </anchor>
              </controlPr>
            </control>
          </mc:Choice>
        </mc:AlternateContent>
        <mc:AlternateContent xmlns:mc="http://schemas.openxmlformats.org/markup-compatibility/2006">
          <mc:Choice Requires="x14">
            <control shapeId="19464" r:id="rId9" name="Check Box 8">
              <controlPr defaultSize="0" autoFill="0" autoLine="0" autoPict="0">
                <anchor moveWithCells="1">
                  <from>
                    <xdr:col>2</xdr:col>
                    <xdr:colOff>621030</xdr:colOff>
                    <xdr:row>9</xdr:row>
                    <xdr:rowOff>335280</xdr:rowOff>
                  </from>
                  <to>
                    <xdr:col>3</xdr:col>
                    <xdr:colOff>19050</xdr:colOff>
                    <xdr:row>10</xdr:row>
                    <xdr:rowOff>30480</xdr:rowOff>
                  </to>
                </anchor>
              </controlPr>
            </control>
          </mc:Choice>
        </mc:AlternateContent>
        <mc:AlternateContent xmlns:mc="http://schemas.openxmlformats.org/markup-compatibility/2006">
          <mc:Choice Requires="x14">
            <control shapeId="19465" r:id="rId10" name="Check Box 9">
              <controlPr locked="0" defaultSize="0" autoFill="0" autoLine="0" autoPict="0">
                <anchor moveWithCells="1">
                  <from>
                    <xdr:col>1</xdr:col>
                    <xdr:colOff>2526030</xdr:colOff>
                    <xdr:row>0</xdr:row>
                    <xdr:rowOff>240030</xdr:rowOff>
                  </from>
                  <to>
                    <xdr:col>1</xdr:col>
                    <xdr:colOff>3333750</xdr:colOff>
                    <xdr:row>1</xdr:row>
                    <xdr:rowOff>182880</xdr:rowOff>
                  </to>
                </anchor>
              </controlPr>
            </control>
          </mc:Choice>
        </mc:AlternateContent>
        <mc:AlternateContent xmlns:mc="http://schemas.openxmlformats.org/markup-compatibility/2006">
          <mc:Choice Requires="x14">
            <control shapeId="19466" r:id="rId11" name="Check Box 10">
              <controlPr defaultSize="0" autoFill="0" autoLine="0" autoPict="0">
                <anchor moveWithCells="1">
                  <from>
                    <xdr:col>0</xdr:col>
                    <xdr:colOff>0</xdr:colOff>
                    <xdr:row>20</xdr:row>
                    <xdr:rowOff>190500</xdr:rowOff>
                  </from>
                  <to>
                    <xdr:col>0</xdr:col>
                    <xdr:colOff>963930</xdr:colOff>
                    <xdr:row>22</xdr:row>
                    <xdr:rowOff>0</xdr:rowOff>
                  </to>
                </anchor>
              </controlPr>
            </control>
          </mc:Choice>
        </mc:AlternateContent>
        <mc:AlternateContent xmlns:mc="http://schemas.openxmlformats.org/markup-compatibility/2006">
          <mc:Choice Requires="x14">
            <control shapeId="19467" r:id="rId12" name="Check Box 11">
              <controlPr defaultSize="0" autoFill="0" autoLine="0" autoPict="0">
                <anchor moveWithCells="1">
                  <from>
                    <xdr:col>0</xdr:col>
                    <xdr:colOff>0</xdr:colOff>
                    <xdr:row>21</xdr:row>
                    <xdr:rowOff>182880</xdr:rowOff>
                  </from>
                  <to>
                    <xdr:col>0</xdr:col>
                    <xdr:colOff>906780</xdr:colOff>
                    <xdr:row>23</xdr:row>
                    <xdr:rowOff>0</xdr:rowOff>
                  </to>
                </anchor>
              </controlPr>
            </control>
          </mc:Choice>
        </mc:AlternateContent>
        <mc:AlternateContent xmlns:mc="http://schemas.openxmlformats.org/markup-compatibility/2006">
          <mc:Choice Requires="x14">
            <control shapeId="19468" r:id="rId13" name="Check Box 12">
              <controlPr defaultSize="0" autoFill="0" autoLine="0" autoPict="0">
                <anchor moveWithCells="1">
                  <from>
                    <xdr:col>0</xdr:col>
                    <xdr:colOff>0</xdr:colOff>
                    <xdr:row>23</xdr:row>
                    <xdr:rowOff>0</xdr:rowOff>
                  </from>
                  <to>
                    <xdr:col>1</xdr:col>
                    <xdr:colOff>392430</xdr:colOff>
                    <xdr:row>24</xdr:row>
                    <xdr:rowOff>0</xdr:rowOff>
                  </to>
                </anchor>
              </controlPr>
            </control>
          </mc:Choice>
        </mc:AlternateContent>
        <mc:AlternateContent xmlns:mc="http://schemas.openxmlformats.org/markup-compatibility/2006">
          <mc:Choice Requires="x14">
            <control shapeId="19469" r:id="rId14" name="Check Box 13">
              <controlPr defaultSize="0" autoFill="0" autoLine="0" autoPict="0">
                <anchor moveWithCells="1">
                  <from>
                    <xdr:col>0</xdr:col>
                    <xdr:colOff>0</xdr:colOff>
                    <xdr:row>24</xdr:row>
                    <xdr:rowOff>11430</xdr:rowOff>
                  </from>
                  <to>
                    <xdr:col>0</xdr:col>
                    <xdr:colOff>800100</xdr:colOff>
                    <xdr:row>25</xdr:row>
                    <xdr:rowOff>19050</xdr:rowOff>
                  </to>
                </anchor>
              </controlPr>
            </control>
          </mc:Choice>
        </mc:AlternateContent>
        <mc:AlternateContent xmlns:mc="http://schemas.openxmlformats.org/markup-compatibility/2006">
          <mc:Choice Requires="x14">
            <control shapeId="19470" r:id="rId15" name="Check Box 14">
              <controlPr defaultSize="0" autoFill="0" autoLine="0" autoPict="0">
                <anchor moveWithCells="1">
                  <from>
                    <xdr:col>0</xdr:col>
                    <xdr:colOff>0</xdr:colOff>
                    <xdr:row>25</xdr:row>
                    <xdr:rowOff>11430</xdr:rowOff>
                  </from>
                  <to>
                    <xdr:col>0</xdr:col>
                    <xdr:colOff>800100</xdr:colOff>
                    <xdr:row>26</xdr:row>
                    <xdr:rowOff>19050</xdr:rowOff>
                  </to>
                </anchor>
              </controlPr>
            </control>
          </mc:Choice>
        </mc:AlternateContent>
        <mc:AlternateContent xmlns:mc="http://schemas.openxmlformats.org/markup-compatibility/2006">
          <mc:Choice Requires="x14">
            <control shapeId="19471" r:id="rId16" name="Check Box 15">
              <controlPr defaultSize="0" autoFill="0" autoLine="0" autoPict="0">
                <anchor moveWithCells="1">
                  <from>
                    <xdr:col>0</xdr:col>
                    <xdr:colOff>0</xdr:colOff>
                    <xdr:row>25</xdr:row>
                    <xdr:rowOff>201930</xdr:rowOff>
                  </from>
                  <to>
                    <xdr:col>0</xdr:col>
                    <xdr:colOff>1097280</xdr:colOff>
                    <xdr:row>27</xdr:row>
                    <xdr:rowOff>19050</xdr:rowOff>
                  </to>
                </anchor>
              </controlPr>
            </control>
          </mc:Choice>
        </mc:AlternateContent>
        <mc:AlternateContent xmlns:mc="http://schemas.openxmlformats.org/markup-compatibility/2006">
          <mc:Choice Requires="x14">
            <control shapeId="19472" r:id="rId17" name="Check Box 16">
              <controlPr defaultSize="0" autoFill="0" autoLine="0" autoPict="0">
                <anchor moveWithCells="1">
                  <from>
                    <xdr:col>0</xdr:col>
                    <xdr:colOff>0</xdr:colOff>
                    <xdr:row>27</xdr:row>
                    <xdr:rowOff>0</xdr:rowOff>
                  </from>
                  <to>
                    <xdr:col>0</xdr:col>
                    <xdr:colOff>1123950</xdr:colOff>
                    <xdr:row>28</xdr:row>
                    <xdr:rowOff>11430</xdr:rowOff>
                  </to>
                </anchor>
              </controlPr>
            </control>
          </mc:Choice>
        </mc:AlternateContent>
        <mc:AlternateContent xmlns:mc="http://schemas.openxmlformats.org/markup-compatibility/2006">
          <mc:Choice Requires="x14">
            <control shapeId="19473" r:id="rId18" name="Check Box 17">
              <controlPr defaultSize="0" autoFill="0" autoLine="0" autoPict="0">
                <anchor moveWithCells="1">
                  <from>
                    <xdr:col>0</xdr:col>
                    <xdr:colOff>0</xdr:colOff>
                    <xdr:row>28</xdr:row>
                    <xdr:rowOff>0</xdr:rowOff>
                  </from>
                  <to>
                    <xdr:col>0</xdr:col>
                    <xdr:colOff>857250</xdr:colOff>
                    <xdr:row>29</xdr:row>
                    <xdr:rowOff>11430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E45"/>
  <sheetViews>
    <sheetView showGridLines="0" workbookViewId="0">
      <selection activeCell="D9" sqref="D9"/>
    </sheetView>
  </sheetViews>
  <sheetFormatPr defaultColWidth="16.59765625" defaultRowHeight="15.6"/>
  <cols>
    <col min="1" max="1" width="16.59765625" style="204"/>
    <col min="2" max="2" width="106.84765625" style="1" customWidth="1"/>
    <col min="3" max="4" width="17.59765625" style="1" customWidth="1"/>
    <col min="5" max="16384" width="16.59765625" style="1"/>
  </cols>
  <sheetData>
    <row r="1" spans="1:5" s="118" customFormat="1" ht="31.9" customHeight="1">
      <c r="A1" s="202"/>
      <c r="B1" s="118" t="s">
        <v>469</v>
      </c>
      <c r="C1" s="252" t="s">
        <v>173</v>
      </c>
      <c r="D1" s="252"/>
      <c r="E1" s="252"/>
    </row>
    <row r="2" spans="1:5" s="118" customFormat="1" ht="18" customHeight="1">
      <c r="A2" s="202"/>
      <c r="B2" s="117" t="s">
        <v>293</v>
      </c>
      <c r="C2" s="144"/>
      <c r="D2" s="144"/>
      <c r="E2" s="144"/>
    </row>
    <row r="3" spans="1:5">
      <c r="B3" s="82"/>
    </row>
    <row r="4" spans="1:5" ht="38.5" customHeight="1">
      <c r="B4" s="84" t="s">
        <v>9</v>
      </c>
      <c r="C4" s="82"/>
      <c r="D4" s="82"/>
    </row>
    <row r="5" spans="1:5">
      <c r="B5" s="82"/>
    </row>
    <row r="6" spans="1:5" ht="39" customHeight="1">
      <c r="B6" s="90" t="s">
        <v>310</v>
      </c>
      <c r="C6" s="86"/>
      <c r="D6" s="86"/>
    </row>
    <row r="7" spans="1:5">
      <c r="B7" s="82"/>
    </row>
    <row r="8" spans="1:5" s="3" customFormat="1" ht="45" customHeight="1">
      <c r="B8" s="83" t="s">
        <v>198</v>
      </c>
      <c r="C8" s="83" t="s">
        <v>296</v>
      </c>
      <c r="D8" s="79" t="s">
        <v>470</v>
      </c>
    </row>
    <row r="9" spans="1:5" ht="36.4" customHeight="1">
      <c r="B9" s="120" t="s">
        <v>471</v>
      </c>
      <c r="C9" s="212">
        <v>0</v>
      </c>
      <c r="D9" s="211"/>
    </row>
    <row r="10" spans="1:5" ht="35.1" customHeight="1">
      <c r="B10" s="24" t="s">
        <v>472</v>
      </c>
      <c r="C10" s="214">
        <v>1</v>
      </c>
      <c r="D10" s="86"/>
    </row>
    <row r="11" spans="1:5" ht="37" customHeight="1">
      <c r="B11" s="120" t="s">
        <v>473</v>
      </c>
      <c r="C11" s="212">
        <v>2</v>
      </c>
      <c r="D11" s="86"/>
    </row>
    <row r="12" spans="1:5" ht="41.1" customHeight="1">
      <c r="B12" s="24" t="s">
        <v>474</v>
      </c>
      <c r="C12" s="214">
        <v>3</v>
      </c>
      <c r="D12" s="86"/>
    </row>
    <row r="13" spans="1:5">
      <c r="D13" s="86"/>
    </row>
    <row r="14" spans="1:5" ht="16" customHeight="1">
      <c r="B14" s="3" t="s">
        <v>283</v>
      </c>
      <c r="C14" s="82"/>
    </row>
    <row r="15" spans="1:5">
      <c r="B15" s="82"/>
      <c r="C15" s="82"/>
    </row>
    <row r="16" spans="1:5" ht="63" customHeight="1">
      <c r="B16" s="90" t="s">
        <v>197</v>
      </c>
      <c r="C16" s="86"/>
      <c r="D16" s="86"/>
    </row>
    <row r="18" spans="1:4" ht="16" customHeight="1">
      <c r="B18" s="82" t="s">
        <v>53</v>
      </c>
      <c r="C18" s="82"/>
      <c r="D18" s="82"/>
    </row>
    <row r="19" spans="1:4">
      <c r="B19" s="82"/>
    </row>
    <row r="20" spans="1:4" ht="64" customHeight="1">
      <c r="B20" s="90" t="s">
        <v>197</v>
      </c>
      <c r="C20" s="86"/>
      <c r="D20" s="86"/>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0D00-000000000000}"/>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2225" r:id="rId3" name="Check Box 1">
              <controlPr locked="0" defaultSize="0" autoFill="0" autoLine="0" autoPict="0">
                <anchor moveWithCells="1">
                  <from>
                    <xdr:col>1</xdr:col>
                    <xdr:colOff>2468880</xdr:colOff>
                    <xdr:row>1</xdr:row>
                    <xdr:rowOff>19050</xdr:rowOff>
                  </from>
                  <to>
                    <xdr:col>1</xdr:col>
                    <xdr:colOff>3276600</xdr:colOff>
                    <xdr:row>2</xdr:row>
                    <xdr:rowOff>0</xdr:rowOff>
                  </to>
                </anchor>
              </controlPr>
            </control>
          </mc:Choice>
        </mc:AlternateContent>
        <mc:AlternateContent xmlns:mc="http://schemas.openxmlformats.org/markup-compatibility/2006">
          <mc:Choice Requires="x14">
            <control shapeId="52226"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52227"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52228"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52229"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52230"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52231"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52232"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52233"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E45"/>
  <sheetViews>
    <sheetView showGridLines="0" workbookViewId="0">
      <selection activeCell="D9" sqref="D9"/>
    </sheetView>
  </sheetViews>
  <sheetFormatPr defaultColWidth="16.59765625" defaultRowHeight="15.6"/>
  <cols>
    <col min="1" max="1" width="16.59765625" style="204"/>
    <col min="2" max="2" width="106.84765625" style="1" customWidth="1"/>
    <col min="3" max="3" width="17.59765625" style="1" customWidth="1"/>
    <col min="4" max="4" width="20.09765625" style="1" customWidth="1"/>
    <col min="5" max="16384" width="16.59765625" style="1"/>
  </cols>
  <sheetData>
    <row r="1" spans="1:5" s="118" customFormat="1" ht="32.5" customHeight="1">
      <c r="A1" s="202"/>
      <c r="B1" s="118" t="s">
        <v>475</v>
      </c>
      <c r="C1" s="252" t="s">
        <v>173</v>
      </c>
      <c r="D1" s="252"/>
      <c r="E1" s="252"/>
    </row>
    <row r="2" spans="1:5">
      <c r="B2" s="148" t="s">
        <v>293</v>
      </c>
    </row>
    <row r="3" spans="1:5">
      <c r="B3" s="82"/>
    </row>
    <row r="4" spans="1:5" ht="42" customHeight="1">
      <c r="B4" s="84" t="s">
        <v>10</v>
      </c>
      <c r="C4" s="82"/>
      <c r="D4" s="82"/>
    </row>
    <row r="5" spans="1:5">
      <c r="B5" s="82"/>
    </row>
    <row r="6" spans="1:5" ht="55" customHeight="1">
      <c r="B6" s="81" t="s">
        <v>311</v>
      </c>
      <c r="C6" s="86"/>
      <c r="D6" s="86"/>
    </row>
    <row r="7" spans="1:5">
      <c r="B7" s="82"/>
    </row>
    <row r="8" spans="1:5" s="3" customFormat="1" ht="43.5" customHeight="1">
      <c r="B8" s="83" t="s">
        <v>198</v>
      </c>
      <c r="C8" s="83" t="s">
        <v>296</v>
      </c>
      <c r="D8" s="79" t="s">
        <v>212</v>
      </c>
    </row>
    <row r="9" spans="1:5" ht="52" customHeight="1">
      <c r="B9" s="120" t="s">
        <v>602</v>
      </c>
      <c r="C9" s="212">
        <v>0</v>
      </c>
      <c r="D9" s="212"/>
    </row>
    <row r="10" spans="1:5" ht="42.75" customHeight="1">
      <c r="B10" s="24" t="s">
        <v>476</v>
      </c>
      <c r="C10" s="214">
        <v>1</v>
      </c>
      <c r="D10" s="215"/>
    </row>
    <row r="11" spans="1:5" ht="41.25" customHeight="1">
      <c r="B11" s="120" t="s">
        <v>477</v>
      </c>
      <c r="C11" s="212">
        <v>2</v>
      </c>
      <c r="D11" s="215"/>
    </row>
    <row r="12" spans="1:5" ht="39" customHeight="1">
      <c r="B12" s="24" t="s">
        <v>478</v>
      </c>
      <c r="C12" s="214">
        <v>3</v>
      </c>
      <c r="D12" s="215"/>
    </row>
    <row r="13" spans="1:5">
      <c r="D13" s="73"/>
    </row>
    <row r="14" spans="1:5" ht="16" customHeight="1">
      <c r="B14" s="3" t="s">
        <v>283</v>
      </c>
      <c r="C14" s="82"/>
    </row>
    <row r="15" spans="1:5">
      <c r="B15" s="82"/>
      <c r="C15" s="82"/>
    </row>
    <row r="16" spans="1:5" ht="63" customHeight="1">
      <c r="B16" s="90" t="s">
        <v>197</v>
      </c>
      <c r="C16" s="86"/>
      <c r="D16" s="86"/>
    </row>
    <row r="18" spans="1:4" ht="16" customHeight="1">
      <c r="B18" s="82" t="s">
        <v>53</v>
      </c>
      <c r="C18" s="82"/>
      <c r="D18" s="82"/>
    </row>
    <row r="19" spans="1:4">
      <c r="B19" s="82"/>
    </row>
    <row r="20" spans="1:4" ht="64" customHeight="1">
      <c r="B20" s="90" t="s">
        <v>197</v>
      </c>
      <c r="C20" s="86"/>
      <c r="D20" s="86"/>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0E00-000000000000}"/>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3249" r:id="rId3" name="Check Box 1">
              <controlPr locked="0" defaultSize="0" autoFill="0" autoLine="0" autoPict="0">
                <anchor moveWithCells="1">
                  <from>
                    <xdr:col>1</xdr:col>
                    <xdr:colOff>2533650</xdr:colOff>
                    <xdr:row>0</xdr:row>
                    <xdr:rowOff>400050</xdr:rowOff>
                  </from>
                  <to>
                    <xdr:col>1</xdr:col>
                    <xdr:colOff>2895600</xdr:colOff>
                    <xdr:row>2</xdr:row>
                    <xdr:rowOff>30480</xdr:rowOff>
                  </to>
                </anchor>
              </controlPr>
            </control>
          </mc:Choice>
        </mc:AlternateContent>
        <mc:AlternateContent xmlns:mc="http://schemas.openxmlformats.org/markup-compatibility/2006">
          <mc:Choice Requires="x14">
            <control shapeId="53266" r:id="rId4" name="Check Box 18">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53267" r:id="rId5" name="Check Box 19">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53268" r:id="rId6" name="Check Box 20">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53269" r:id="rId7" name="Check Box 21">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53270" r:id="rId8" name="Check Box 22">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53271" r:id="rId9" name="Check Box 23">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53272" r:id="rId10" name="Check Box 24">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53273" r:id="rId11" name="Check Box 25">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E45"/>
  <sheetViews>
    <sheetView showGridLines="0" workbookViewId="0">
      <selection activeCell="D9" sqref="D9"/>
    </sheetView>
  </sheetViews>
  <sheetFormatPr defaultColWidth="16.59765625" defaultRowHeight="15.6"/>
  <cols>
    <col min="1" max="1" width="16.59765625" style="204"/>
    <col min="2" max="2" width="106.84765625" style="1" customWidth="1"/>
    <col min="3" max="3" width="17.59765625" style="1" customWidth="1"/>
    <col min="4" max="4" width="24.5" style="1" customWidth="1"/>
    <col min="5" max="16384" width="16.59765625" style="1"/>
  </cols>
  <sheetData>
    <row r="1" spans="1:5" s="85" customFormat="1" ht="42" customHeight="1">
      <c r="B1" s="118" t="s">
        <v>479</v>
      </c>
      <c r="C1" s="253" t="s">
        <v>173</v>
      </c>
      <c r="D1" s="253"/>
      <c r="E1" s="253"/>
    </row>
    <row r="2" spans="1:5">
      <c r="B2" s="148" t="s">
        <v>293</v>
      </c>
    </row>
    <row r="3" spans="1:5">
      <c r="B3" s="82"/>
    </row>
    <row r="4" spans="1:5" s="70" customFormat="1" ht="46.5" customHeight="1">
      <c r="A4" s="203"/>
      <c r="B4" s="84" t="s">
        <v>11</v>
      </c>
      <c r="C4" s="84"/>
      <c r="D4" s="84"/>
    </row>
    <row r="5" spans="1:5">
      <c r="B5" s="82"/>
    </row>
    <row r="6" spans="1:5" ht="67.5" customHeight="1">
      <c r="B6" s="81" t="s">
        <v>480</v>
      </c>
      <c r="C6" s="86"/>
      <c r="D6" s="86"/>
    </row>
    <row r="7" spans="1:5">
      <c r="B7" s="82"/>
    </row>
    <row r="8" spans="1:5" s="3" customFormat="1" ht="40.5" customHeight="1">
      <c r="B8" s="83" t="s">
        <v>198</v>
      </c>
      <c r="C8" s="83" t="s">
        <v>296</v>
      </c>
      <c r="D8" s="79" t="s">
        <v>212</v>
      </c>
    </row>
    <row r="9" spans="1:5" ht="37.5" customHeight="1">
      <c r="B9" s="120" t="s">
        <v>481</v>
      </c>
      <c r="C9" s="212">
        <v>0</v>
      </c>
      <c r="D9" s="213"/>
    </row>
    <row r="10" spans="1:5" ht="37.5" customHeight="1">
      <c r="B10" s="24" t="s">
        <v>482</v>
      </c>
      <c r="C10" s="214">
        <v>1</v>
      </c>
      <c r="D10" s="215"/>
    </row>
    <row r="11" spans="1:5" ht="36" customHeight="1">
      <c r="B11" s="24" t="s">
        <v>483</v>
      </c>
      <c r="C11" s="214">
        <v>2</v>
      </c>
      <c r="D11" s="215"/>
    </row>
    <row r="12" spans="1:5" ht="33" customHeight="1">
      <c r="B12" s="24" t="s">
        <v>484</v>
      </c>
      <c r="C12" s="216">
        <v>3</v>
      </c>
      <c r="D12" s="215"/>
    </row>
    <row r="13" spans="1:5">
      <c r="B13" s="6"/>
      <c r="D13" s="73"/>
    </row>
    <row r="14" spans="1:5" ht="16" customHeight="1">
      <c r="B14" s="3" t="s">
        <v>283</v>
      </c>
      <c r="C14" s="82"/>
    </row>
    <row r="15" spans="1:5">
      <c r="B15" s="82"/>
      <c r="C15" s="82"/>
    </row>
    <row r="16" spans="1:5" ht="63" customHeight="1">
      <c r="B16" s="90" t="s">
        <v>197</v>
      </c>
      <c r="C16" s="86"/>
      <c r="D16" s="86"/>
    </row>
    <row r="18" spans="1:4" ht="16" customHeight="1">
      <c r="B18" s="82" t="s">
        <v>53</v>
      </c>
      <c r="C18" s="82"/>
      <c r="D18" s="82"/>
    </row>
    <row r="19" spans="1:4">
      <c r="B19" s="82"/>
    </row>
    <row r="20" spans="1:4" ht="64" customHeight="1">
      <c r="B20" s="90" t="s">
        <v>197</v>
      </c>
      <c r="C20" s="86"/>
      <c r="D20" s="86"/>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0F00-000000000000}"/>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4273" r:id="rId3" name="Check Box 1">
              <controlPr locked="0" defaultSize="0" autoFill="0" autoLine="0" autoPict="0">
                <anchor moveWithCells="1">
                  <from>
                    <xdr:col>1</xdr:col>
                    <xdr:colOff>2419350</xdr:colOff>
                    <xdr:row>1</xdr:row>
                    <xdr:rowOff>11430</xdr:rowOff>
                  </from>
                  <to>
                    <xdr:col>1</xdr:col>
                    <xdr:colOff>3230880</xdr:colOff>
                    <xdr:row>2</xdr:row>
                    <xdr:rowOff>19050</xdr:rowOff>
                  </to>
                </anchor>
              </controlPr>
            </control>
          </mc:Choice>
        </mc:AlternateContent>
        <mc:AlternateContent xmlns:mc="http://schemas.openxmlformats.org/markup-compatibility/2006">
          <mc:Choice Requires="x14">
            <control shapeId="54274"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54275"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54276"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54277"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54278"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54279"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54280"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54281"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E45"/>
  <sheetViews>
    <sheetView showGridLines="0" workbookViewId="0">
      <selection activeCell="D9" sqref="D9"/>
    </sheetView>
  </sheetViews>
  <sheetFormatPr defaultColWidth="16.59765625" defaultRowHeight="15.6"/>
  <cols>
    <col min="1" max="1" width="16.59765625" style="204"/>
    <col min="2" max="2" width="111.34765625" style="1" customWidth="1"/>
    <col min="3" max="3" width="18.34765625" style="1" customWidth="1"/>
    <col min="4" max="4" width="21.59765625" style="1" customWidth="1"/>
    <col min="5" max="16384" width="16.59765625" style="1"/>
  </cols>
  <sheetData>
    <row r="1" spans="1:5" s="118" customFormat="1" ht="30" customHeight="1">
      <c r="A1" s="202"/>
      <c r="B1" s="118" t="s">
        <v>485</v>
      </c>
      <c r="C1" s="252" t="s">
        <v>173</v>
      </c>
      <c r="D1" s="252"/>
      <c r="E1" s="252"/>
    </row>
    <row r="2" spans="1:5">
      <c r="B2" s="148" t="s">
        <v>293</v>
      </c>
    </row>
    <row r="3" spans="1:5">
      <c r="B3" s="82"/>
    </row>
    <row r="4" spans="1:5" s="70" customFormat="1" ht="41.65" customHeight="1">
      <c r="A4" s="203"/>
      <c r="B4" s="84" t="s">
        <v>12</v>
      </c>
      <c r="C4" s="84"/>
      <c r="D4" s="84"/>
    </row>
    <row r="5" spans="1:5">
      <c r="B5" s="82"/>
    </row>
    <row r="6" spans="1:5" ht="45" customHeight="1">
      <c r="B6" s="81" t="s">
        <v>312</v>
      </c>
      <c r="C6" s="86"/>
      <c r="D6" s="86"/>
    </row>
    <row r="7" spans="1:5">
      <c r="B7" s="82"/>
    </row>
    <row r="8" spans="1:5" s="3" customFormat="1" ht="44.1" customHeight="1">
      <c r="B8" s="83" t="s">
        <v>198</v>
      </c>
      <c r="C8" s="83" t="s">
        <v>296</v>
      </c>
      <c r="D8" s="79" t="s">
        <v>212</v>
      </c>
    </row>
    <row r="9" spans="1:5" ht="35.5" customHeight="1">
      <c r="B9" s="120" t="s">
        <v>486</v>
      </c>
      <c r="C9" s="212">
        <v>0</v>
      </c>
      <c r="D9" s="213"/>
    </row>
    <row r="10" spans="1:5" ht="36" customHeight="1">
      <c r="B10" s="24" t="s">
        <v>487</v>
      </c>
      <c r="C10" s="214">
        <v>1</v>
      </c>
      <c r="D10" s="215"/>
    </row>
    <row r="11" spans="1:5" ht="33" customHeight="1">
      <c r="B11" s="120" t="s">
        <v>603</v>
      </c>
      <c r="C11" s="212">
        <v>2</v>
      </c>
      <c r="D11" s="215"/>
    </row>
    <row r="12" spans="1:5" ht="35.25" customHeight="1">
      <c r="B12" s="24" t="s">
        <v>488</v>
      </c>
      <c r="C12" s="214">
        <v>3</v>
      </c>
      <c r="D12" s="215"/>
    </row>
    <row r="13" spans="1:5">
      <c r="D13" s="73"/>
    </row>
    <row r="14" spans="1:5" ht="16" customHeight="1">
      <c r="B14" s="82" t="s">
        <v>283</v>
      </c>
      <c r="C14" s="82"/>
    </row>
    <row r="15" spans="1:5">
      <c r="B15" s="82"/>
      <c r="C15" s="82"/>
    </row>
    <row r="16" spans="1:5" ht="63" customHeight="1">
      <c r="B16" s="90" t="s">
        <v>197</v>
      </c>
      <c r="C16" s="73"/>
      <c r="D16" s="73"/>
    </row>
    <row r="18" spans="1:4" ht="16" customHeight="1">
      <c r="B18" s="82" t="s">
        <v>53</v>
      </c>
      <c r="C18" s="82"/>
      <c r="D18" s="82"/>
    </row>
    <row r="19" spans="1:4">
      <c r="B19" s="82"/>
    </row>
    <row r="20" spans="1:4" ht="64" customHeight="1">
      <c r="B20" s="90" t="s">
        <v>197</v>
      </c>
      <c r="C20" s="73"/>
      <c r="D20" s="73"/>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1000-000000000000}"/>
  </hyperlinks>
  <pageMargins left="0.7" right="0.7" top="0.75" bottom="0.75" header="0.3" footer="0.3"/>
  <pageSetup paperSize="9" scale="96" orientation="portrait" horizontalDpi="0" verticalDpi="0"/>
  <rowBreaks count="1" manualBreakCount="1">
    <brk id="20"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55297" r:id="rId3" name="Check Box 1">
              <controlPr locked="0" defaultSize="0" autoFill="0" autoLine="0" autoPict="0">
                <anchor moveWithCells="1">
                  <from>
                    <xdr:col>1</xdr:col>
                    <xdr:colOff>2495550</xdr:colOff>
                    <xdr:row>1</xdr:row>
                    <xdr:rowOff>0</xdr:rowOff>
                  </from>
                  <to>
                    <xdr:col>1</xdr:col>
                    <xdr:colOff>3307080</xdr:colOff>
                    <xdr:row>2</xdr:row>
                    <xdr:rowOff>11430</xdr:rowOff>
                  </to>
                </anchor>
              </controlPr>
            </control>
          </mc:Choice>
        </mc:AlternateContent>
        <mc:AlternateContent xmlns:mc="http://schemas.openxmlformats.org/markup-compatibility/2006">
          <mc:Choice Requires="x14">
            <control shapeId="55298"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55299"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55300"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55301"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55302"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55303"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55304"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55305"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E45"/>
  <sheetViews>
    <sheetView showGridLines="0" workbookViewId="0">
      <selection activeCell="D9" sqref="D9"/>
    </sheetView>
  </sheetViews>
  <sheetFormatPr defaultColWidth="16.59765625" defaultRowHeight="15.6"/>
  <cols>
    <col min="1" max="1" width="16.59765625" style="204"/>
    <col min="2" max="2" width="106.84765625" style="1" customWidth="1"/>
    <col min="3" max="3" width="17.59765625" style="1" customWidth="1"/>
    <col min="4" max="4" width="23.34765625" style="1" customWidth="1"/>
    <col min="5" max="16384" width="16.59765625" style="1"/>
  </cols>
  <sheetData>
    <row r="1" spans="1:5" s="118" customFormat="1" ht="37" customHeight="1">
      <c r="A1" s="202"/>
      <c r="B1" s="118" t="s">
        <v>489</v>
      </c>
      <c r="C1" s="252" t="s">
        <v>173</v>
      </c>
      <c r="D1" s="252"/>
      <c r="E1" s="252"/>
    </row>
    <row r="2" spans="1:5">
      <c r="B2" s="148" t="s">
        <v>293</v>
      </c>
    </row>
    <row r="3" spans="1:5">
      <c r="B3" s="82"/>
    </row>
    <row r="4" spans="1:5" s="70" customFormat="1" ht="37.5" customHeight="1">
      <c r="A4" s="203"/>
      <c r="B4" s="84" t="s">
        <v>13</v>
      </c>
      <c r="C4" s="84"/>
      <c r="D4" s="84"/>
    </row>
    <row r="5" spans="1:5">
      <c r="B5" s="82"/>
    </row>
    <row r="6" spans="1:5" ht="42.4" customHeight="1">
      <c r="B6" s="81" t="s">
        <v>313</v>
      </c>
      <c r="C6" s="86"/>
      <c r="D6" s="86"/>
    </row>
    <row r="7" spans="1:5">
      <c r="B7" s="82"/>
    </row>
    <row r="8" spans="1:5" s="3" customFormat="1" ht="41.1" customHeight="1">
      <c r="B8" s="83" t="s">
        <v>198</v>
      </c>
      <c r="C8" s="83" t="s">
        <v>296</v>
      </c>
      <c r="D8" s="79" t="s">
        <v>212</v>
      </c>
    </row>
    <row r="9" spans="1:5" ht="36" customHeight="1">
      <c r="B9" s="120" t="s">
        <v>604</v>
      </c>
      <c r="C9" s="212">
        <v>0</v>
      </c>
      <c r="D9" s="212"/>
    </row>
    <row r="10" spans="1:5" ht="42" customHeight="1">
      <c r="B10" s="24" t="s">
        <v>490</v>
      </c>
      <c r="C10" s="214">
        <v>1</v>
      </c>
      <c r="D10" s="215"/>
    </row>
    <row r="11" spans="1:5" ht="40.5" customHeight="1">
      <c r="B11" s="120" t="s">
        <v>491</v>
      </c>
      <c r="C11" s="212">
        <v>2</v>
      </c>
      <c r="D11" s="215"/>
    </row>
    <row r="12" spans="1:5" ht="40.5" customHeight="1">
      <c r="B12" s="24" t="s">
        <v>492</v>
      </c>
      <c r="C12" s="214">
        <v>3</v>
      </c>
      <c r="D12" s="215"/>
    </row>
    <row r="13" spans="1:5">
      <c r="D13" s="73"/>
    </row>
    <row r="14" spans="1:5" ht="16" customHeight="1">
      <c r="B14" s="82" t="s">
        <v>283</v>
      </c>
      <c r="C14" s="82"/>
    </row>
    <row r="15" spans="1:5">
      <c r="B15" s="82"/>
      <c r="C15" s="82"/>
    </row>
    <row r="16" spans="1:5" ht="63" customHeight="1">
      <c r="B16" s="90" t="s">
        <v>197</v>
      </c>
      <c r="C16" s="73"/>
      <c r="D16" s="73"/>
    </row>
    <row r="18" spans="1:4" ht="16" customHeight="1">
      <c r="B18" s="82" t="s">
        <v>53</v>
      </c>
      <c r="C18" s="82"/>
      <c r="D18" s="82"/>
    </row>
    <row r="19" spans="1:4">
      <c r="B19" s="82"/>
    </row>
    <row r="20" spans="1:4" ht="64" customHeight="1">
      <c r="B20" s="90" t="s">
        <v>197</v>
      </c>
      <c r="C20" s="73"/>
      <c r="D20" s="73"/>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1100-000000000000}"/>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6321" r:id="rId3" name="Check Box 1">
              <controlPr locked="0" defaultSize="0" autoFill="0" autoLine="0" autoPict="0">
                <anchor moveWithCells="1">
                  <from>
                    <xdr:col>1</xdr:col>
                    <xdr:colOff>2506980</xdr:colOff>
                    <xdr:row>1</xdr:row>
                    <xdr:rowOff>11430</xdr:rowOff>
                  </from>
                  <to>
                    <xdr:col>1</xdr:col>
                    <xdr:colOff>3314700</xdr:colOff>
                    <xdr:row>2</xdr:row>
                    <xdr:rowOff>19050</xdr:rowOff>
                  </to>
                </anchor>
              </controlPr>
            </control>
          </mc:Choice>
        </mc:AlternateContent>
        <mc:AlternateContent xmlns:mc="http://schemas.openxmlformats.org/markup-compatibility/2006">
          <mc:Choice Requires="x14">
            <control shapeId="56322"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56323"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56324"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56325"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56326"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56327"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56328"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56329"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E45"/>
  <sheetViews>
    <sheetView showGridLines="0" workbookViewId="0">
      <selection activeCell="D9" sqref="D9"/>
    </sheetView>
  </sheetViews>
  <sheetFormatPr defaultColWidth="16.59765625" defaultRowHeight="15.6"/>
  <cols>
    <col min="1" max="1" width="16.59765625" style="204"/>
    <col min="2" max="2" width="106.84765625" style="1" customWidth="1"/>
    <col min="3" max="3" width="17.59765625" style="1" customWidth="1"/>
    <col min="4" max="4" width="22.34765625" style="1" customWidth="1"/>
    <col min="5" max="5" width="17.59765625" style="1" customWidth="1"/>
    <col min="6" max="16384" width="16.59765625" style="1"/>
  </cols>
  <sheetData>
    <row r="1" spans="1:5" s="118" customFormat="1" ht="30.6" customHeight="1">
      <c r="A1" s="202"/>
      <c r="B1" s="118" t="s">
        <v>493</v>
      </c>
      <c r="C1" s="252" t="s">
        <v>173</v>
      </c>
      <c r="D1" s="252"/>
      <c r="E1" s="252"/>
    </row>
    <row r="2" spans="1:5">
      <c r="B2" s="148" t="s">
        <v>293</v>
      </c>
    </row>
    <row r="3" spans="1:5">
      <c r="B3" s="82"/>
    </row>
    <row r="4" spans="1:5" s="70" customFormat="1" ht="46.5" customHeight="1">
      <c r="A4" s="203"/>
      <c r="B4" s="84" t="s">
        <v>14</v>
      </c>
      <c r="C4" s="84"/>
      <c r="D4" s="84"/>
    </row>
    <row r="5" spans="1:5">
      <c r="B5" s="82"/>
    </row>
    <row r="6" spans="1:5" ht="148.5" customHeight="1">
      <c r="B6" s="81" t="s">
        <v>494</v>
      </c>
      <c r="C6" s="86"/>
      <c r="D6" s="86"/>
    </row>
    <row r="7" spans="1:5">
      <c r="B7" s="82"/>
    </row>
    <row r="8" spans="1:5" s="3" customFormat="1" ht="42.6" customHeight="1">
      <c r="B8" s="83" t="s">
        <v>198</v>
      </c>
      <c r="C8" s="83" t="s">
        <v>296</v>
      </c>
      <c r="D8" s="79" t="s">
        <v>212</v>
      </c>
    </row>
    <row r="9" spans="1:5" ht="31.15" customHeight="1">
      <c r="B9" s="120" t="s">
        <v>605</v>
      </c>
      <c r="C9" s="212">
        <v>0</v>
      </c>
      <c r="D9" s="212"/>
    </row>
    <row r="10" spans="1:5" ht="41.5" customHeight="1">
      <c r="B10" s="24" t="s">
        <v>495</v>
      </c>
      <c r="C10" s="214">
        <v>1</v>
      </c>
      <c r="D10" s="215"/>
    </row>
    <row r="11" spans="1:5" ht="40.5" customHeight="1">
      <c r="B11" s="120" t="s">
        <v>496</v>
      </c>
      <c r="C11" s="212">
        <v>2</v>
      </c>
      <c r="D11" s="215"/>
    </row>
    <row r="12" spans="1:5" ht="39" customHeight="1">
      <c r="B12" s="24" t="s">
        <v>497</v>
      </c>
      <c r="C12" s="214">
        <v>3</v>
      </c>
      <c r="D12" s="215"/>
    </row>
    <row r="13" spans="1:5">
      <c r="D13" s="73"/>
    </row>
    <row r="14" spans="1:5" ht="16" customHeight="1">
      <c r="B14" s="82" t="s">
        <v>283</v>
      </c>
      <c r="C14" s="82"/>
    </row>
    <row r="15" spans="1:5">
      <c r="B15" s="82"/>
      <c r="C15" s="82"/>
    </row>
    <row r="16" spans="1:5" ht="63" customHeight="1">
      <c r="B16" s="90" t="s">
        <v>197</v>
      </c>
      <c r="C16" s="73"/>
      <c r="D16" s="73"/>
    </row>
    <row r="18" spans="1:4" ht="16" customHeight="1">
      <c r="B18" s="82" t="s">
        <v>53</v>
      </c>
      <c r="C18" s="82"/>
      <c r="D18" s="82"/>
    </row>
    <row r="19" spans="1:4">
      <c r="B19" s="82"/>
    </row>
    <row r="20" spans="1:4" ht="64" customHeight="1">
      <c r="B20" s="90" t="s">
        <v>197</v>
      </c>
      <c r="C20" s="73"/>
      <c r="D20" s="73"/>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1200-000000000000}"/>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7345" r:id="rId3" name="Check Box 1">
              <controlPr locked="0" defaultSize="0" autoFill="0" autoLine="0" autoPict="0">
                <anchor moveWithCells="1">
                  <from>
                    <xdr:col>1</xdr:col>
                    <xdr:colOff>2487930</xdr:colOff>
                    <xdr:row>1</xdr:row>
                    <xdr:rowOff>11430</xdr:rowOff>
                  </from>
                  <to>
                    <xdr:col>1</xdr:col>
                    <xdr:colOff>3295650</xdr:colOff>
                    <xdr:row>2</xdr:row>
                    <xdr:rowOff>19050</xdr:rowOff>
                  </to>
                </anchor>
              </controlPr>
            </control>
          </mc:Choice>
        </mc:AlternateContent>
        <mc:AlternateContent xmlns:mc="http://schemas.openxmlformats.org/markup-compatibility/2006">
          <mc:Choice Requires="x14">
            <control shapeId="57346"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57347"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57348"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57349"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57350"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57351"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57352"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57353"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E45"/>
  <sheetViews>
    <sheetView showGridLines="0" workbookViewId="0"/>
  </sheetViews>
  <sheetFormatPr defaultColWidth="16.59765625" defaultRowHeight="15.6"/>
  <cols>
    <col min="1" max="1" width="16.59765625" style="204"/>
    <col min="2" max="2" width="106.84765625" style="1" customWidth="1"/>
    <col min="3" max="3" width="17.59765625" style="1" customWidth="1"/>
    <col min="4" max="4" width="22.34765625" style="1" customWidth="1"/>
    <col min="5" max="16384" width="16.59765625" style="1"/>
  </cols>
  <sheetData>
    <row r="1" spans="1:5" s="118" customFormat="1" ht="33" customHeight="1">
      <c r="A1" s="202"/>
      <c r="B1" s="118" t="s">
        <v>498</v>
      </c>
      <c r="C1" s="252" t="s">
        <v>173</v>
      </c>
      <c r="D1" s="252"/>
      <c r="E1" s="252"/>
    </row>
    <row r="2" spans="1:5">
      <c r="B2" s="148" t="s">
        <v>293</v>
      </c>
    </row>
    <row r="3" spans="1:5">
      <c r="B3" s="82"/>
    </row>
    <row r="4" spans="1:5" s="70" customFormat="1" ht="42.4" customHeight="1">
      <c r="A4" s="203"/>
      <c r="B4" s="84" t="s">
        <v>15</v>
      </c>
      <c r="C4" s="84"/>
      <c r="D4" s="84"/>
    </row>
    <row r="5" spans="1:5">
      <c r="B5" s="82"/>
    </row>
    <row r="6" spans="1:5" ht="38.5" customHeight="1">
      <c r="B6" s="81" t="s">
        <v>314</v>
      </c>
      <c r="C6" s="86"/>
      <c r="D6" s="86"/>
    </row>
    <row r="7" spans="1:5">
      <c r="B7" s="82"/>
    </row>
    <row r="8" spans="1:5" s="3" customFormat="1" ht="39" customHeight="1">
      <c r="B8" s="83" t="s">
        <v>198</v>
      </c>
      <c r="C8" s="83" t="s">
        <v>296</v>
      </c>
      <c r="D8" s="79" t="s">
        <v>212</v>
      </c>
    </row>
    <row r="9" spans="1:5" ht="35.5" customHeight="1">
      <c r="B9" s="120" t="s">
        <v>499</v>
      </c>
      <c r="C9" s="212">
        <v>0</v>
      </c>
      <c r="D9" s="212"/>
    </row>
    <row r="10" spans="1:5" ht="38.25" customHeight="1">
      <c r="B10" s="24" t="s">
        <v>500</v>
      </c>
      <c r="C10" s="214">
        <v>1</v>
      </c>
      <c r="D10" s="215"/>
    </row>
    <row r="11" spans="1:5" ht="34.5" customHeight="1">
      <c r="B11" s="120" t="s">
        <v>501</v>
      </c>
      <c r="C11" s="212">
        <v>2</v>
      </c>
      <c r="D11" s="215"/>
    </row>
    <row r="12" spans="1:5" ht="32.25" customHeight="1">
      <c r="B12" s="24" t="s">
        <v>502</v>
      </c>
      <c r="C12" s="214">
        <v>3</v>
      </c>
      <c r="D12" s="215"/>
    </row>
    <row r="13" spans="1:5">
      <c r="B13" s="6"/>
      <c r="D13" s="73"/>
    </row>
    <row r="14" spans="1:5" ht="16" customHeight="1">
      <c r="B14" s="83" t="s">
        <v>283</v>
      </c>
      <c r="C14" s="82"/>
    </row>
    <row r="15" spans="1:5">
      <c r="B15" s="82"/>
      <c r="C15" s="82"/>
    </row>
    <row r="16" spans="1:5" ht="63" customHeight="1">
      <c r="B16" s="90" t="s">
        <v>197</v>
      </c>
      <c r="C16" s="73"/>
      <c r="D16" s="73"/>
    </row>
    <row r="17" spans="1:4">
      <c r="C17" s="73"/>
    </row>
    <row r="18" spans="1:4" ht="16" customHeight="1">
      <c r="B18" s="82" t="s">
        <v>53</v>
      </c>
      <c r="C18" s="73"/>
      <c r="D18" s="82"/>
    </row>
    <row r="19" spans="1:4">
      <c r="B19" s="82"/>
      <c r="C19" s="73"/>
    </row>
    <row r="20" spans="1:4" ht="64" customHeight="1">
      <c r="B20" s="90" t="s">
        <v>197</v>
      </c>
      <c r="C20" s="73"/>
      <c r="D20" s="73"/>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1300-000000000000}"/>
  </hyperlinks>
  <pageMargins left="0.7" right="0.7" top="0.75" bottom="0.75" header="0.3" footer="0.3"/>
  <pageSetup paperSize="9" orientation="portrait" horizontalDpi="0" verticalDpi="0"/>
  <rowBreaks count="1" manualBreakCount="1">
    <brk id="21"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58369" r:id="rId3" name="Check Box 1">
              <controlPr locked="0" defaultSize="0" autoFill="0" autoLine="0" autoPict="0">
                <anchor moveWithCells="1">
                  <from>
                    <xdr:col>1</xdr:col>
                    <xdr:colOff>2495550</xdr:colOff>
                    <xdr:row>1</xdr:row>
                    <xdr:rowOff>0</xdr:rowOff>
                  </from>
                  <to>
                    <xdr:col>1</xdr:col>
                    <xdr:colOff>3307080</xdr:colOff>
                    <xdr:row>2</xdr:row>
                    <xdr:rowOff>11430</xdr:rowOff>
                  </to>
                </anchor>
              </controlPr>
            </control>
          </mc:Choice>
        </mc:AlternateContent>
        <mc:AlternateContent xmlns:mc="http://schemas.openxmlformats.org/markup-compatibility/2006">
          <mc:Choice Requires="x14">
            <control shapeId="58370"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58371"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58372"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58373"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58374"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58375"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58376"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58377"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E45"/>
  <sheetViews>
    <sheetView showGridLines="0" workbookViewId="0">
      <selection activeCell="D9" sqref="D9"/>
    </sheetView>
  </sheetViews>
  <sheetFormatPr defaultColWidth="16.59765625" defaultRowHeight="15.6"/>
  <cols>
    <col min="1" max="1" width="16.59765625" style="204"/>
    <col min="2" max="2" width="106.84765625" style="1" customWidth="1"/>
    <col min="3" max="3" width="17.59765625" style="1" customWidth="1"/>
    <col min="4" max="4" width="22.59765625" style="1" customWidth="1"/>
    <col min="5" max="16384" width="16.59765625" style="1"/>
  </cols>
  <sheetData>
    <row r="1" spans="1:5" s="118" customFormat="1" ht="39" customHeight="1">
      <c r="A1" s="202"/>
      <c r="B1" s="118" t="s">
        <v>503</v>
      </c>
      <c r="C1" s="252" t="s">
        <v>173</v>
      </c>
      <c r="D1" s="252"/>
      <c r="E1" s="252"/>
    </row>
    <row r="2" spans="1:5">
      <c r="B2" s="148" t="s">
        <v>293</v>
      </c>
    </row>
    <row r="3" spans="1:5">
      <c r="B3" s="82"/>
    </row>
    <row r="4" spans="1:5" s="70" customFormat="1" ht="46.9" customHeight="1">
      <c r="A4" s="203"/>
      <c r="B4" s="84" t="s">
        <v>16</v>
      </c>
    </row>
    <row r="5" spans="1:5">
      <c r="B5" s="82"/>
    </row>
    <row r="6" spans="1:5" ht="108.75" customHeight="1">
      <c r="B6" s="81" t="s">
        <v>315</v>
      </c>
      <c r="C6" s="86"/>
      <c r="D6" s="86"/>
    </row>
    <row r="7" spans="1:5">
      <c r="B7" s="82"/>
    </row>
    <row r="8" spans="1:5" s="3" customFormat="1" ht="41.1" customHeight="1">
      <c r="B8" s="83" t="s">
        <v>198</v>
      </c>
      <c r="C8" s="83" t="s">
        <v>296</v>
      </c>
      <c r="D8" s="79" t="s">
        <v>212</v>
      </c>
    </row>
    <row r="9" spans="1:5" ht="37" customHeight="1">
      <c r="B9" s="120" t="s">
        <v>504</v>
      </c>
      <c r="C9" s="212">
        <v>0</v>
      </c>
      <c r="D9" s="212"/>
    </row>
    <row r="10" spans="1:5" ht="35.25" customHeight="1">
      <c r="B10" s="24" t="s">
        <v>505</v>
      </c>
      <c r="C10" s="214">
        <v>1</v>
      </c>
      <c r="D10" s="215"/>
    </row>
    <row r="11" spans="1:5" ht="32.25" customHeight="1">
      <c r="B11" s="120" t="s">
        <v>506</v>
      </c>
      <c r="C11" s="212">
        <v>2</v>
      </c>
      <c r="D11" s="215"/>
    </row>
    <row r="12" spans="1:5" ht="34.5" customHeight="1">
      <c r="B12" s="24" t="s">
        <v>507</v>
      </c>
      <c r="C12" s="214">
        <v>3</v>
      </c>
      <c r="D12" s="215"/>
    </row>
    <row r="13" spans="1:5">
      <c r="B13" s="6"/>
      <c r="D13" s="73"/>
    </row>
    <row r="14" spans="1:5" ht="16" customHeight="1">
      <c r="B14" s="83" t="s">
        <v>283</v>
      </c>
      <c r="C14" s="82"/>
    </row>
    <row r="15" spans="1:5">
      <c r="B15" s="82"/>
      <c r="C15" s="82"/>
    </row>
    <row r="16" spans="1:5" ht="63" customHeight="1">
      <c r="B16" s="90" t="s">
        <v>197</v>
      </c>
      <c r="C16" s="73"/>
      <c r="D16" s="73"/>
    </row>
    <row r="18" spans="1:4" ht="16" customHeight="1">
      <c r="B18" s="82" t="s">
        <v>53</v>
      </c>
      <c r="C18" s="82"/>
      <c r="D18" s="82"/>
    </row>
    <row r="19" spans="1:4">
      <c r="B19" s="82"/>
    </row>
    <row r="20" spans="1:4" ht="64" customHeight="1">
      <c r="B20" s="90" t="s">
        <v>197</v>
      </c>
      <c r="C20" s="73"/>
      <c r="D20" s="73"/>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1400-000000000000}"/>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9393" r:id="rId3" name="Check Box 1">
              <controlPr locked="0" defaultSize="0" autoFill="0" autoLine="0" autoPict="0">
                <anchor moveWithCells="1">
                  <from>
                    <xdr:col>1</xdr:col>
                    <xdr:colOff>2457450</xdr:colOff>
                    <xdr:row>1</xdr:row>
                    <xdr:rowOff>0</xdr:rowOff>
                  </from>
                  <to>
                    <xdr:col>1</xdr:col>
                    <xdr:colOff>3268980</xdr:colOff>
                    <xdr:row>2</xdr:row>
                    <xdr:rowOff>11430</xdr:rowOff>
                  </to>
                </anchor>
              </controlPr>
            </control>
          </mc:Choice>
        </mc:AlternateContent>
        <mc:AlternateContent xmlns:mc="http://schemas.openxmlformats.org/markup-compatibility/2006">
          <mc:Choice Requires="x14">
            <control shapeId="59394"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59395"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59396"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59397"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59398"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59399"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59400"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59401"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E45"/>
  <sheetViews>
    <sheetView showGridLines="0" workbookViewId="0">
      <selection activeCell="D9" sqref="D9"/>
    </sheetView>
  </sheetViews>
  <sheetFormatPr defaultColWidth="16.59765625" defaultRowHeight="15.6"/>
  <cols>
    <col min="1" max="1" width="16.59765625" style="204"/>
    <col min="2" max="2" width="106.84765625" style="1" customWidth="1"/>
    <col min="3" max="3" width="17.59765625" style="1" customWidth="1"/>
    <col min="4" max="4" width="21.5" style="1" customWidth="1"/>
    <col min="5" max="16384" width="16.59765625" style="1"/>
  </cols>
  <sheetData>
    <row r="1" spans="1:5" s="118" customFormat="1" ht="34.15" customHeight="1">
      <c r="A1" s="202"/>
      <c r="B1" s="118" t="s">
        <v>508</v>
      </c>
      <c r="C1" s="252" t="s">
        <v>173</v>
      </c>
      <c r="D1" s="252"/>
      <c r="E1" s="252"/>
    </row>
    <row r="2" spans="1:5">
      <c r="B2" s="148" t="s">
        <v>293</v>
      </c>
    </row>
    <row r="3" spans="1:5">
      <c r="B3" s="82"/>
    </row>
    <row r="4" spans="1:5" s="70" customFormat="1" ht="36" customHeight="1">
      <c r="A4" s="203"/>
      <c r="B4" s="84" t="s">
        <v>17</v>
      </c>
      <c r="C4" s="84"/>
      <c r="D4" s="84"/>
    </row>
    <row r="5" spans="1:5">
      <c r="B5" s="82"/>
    </row>
    <row r="6" spans="1:5" ht="56.25" customHeight="1">
      <c r="B6" s="81" t="s">
        <v>316</v>
      </c>
      <c r="C6" s="86"/>
      <c r="D6" s="86"/>
    </row>
    <row r="7" spans="1:5">
      <c r="B7" s="82"/>
    </row>
    <row r="8" spans="1:5" s="3" customFormat="1" ht="41.65" customHeight="1">
      <c r="B8" s="83" t="s">
        <v>198</v>
      </c>
      <c r="C8" s="83" t="s">
        <v>296</v>
      </c>
      <c r="D8" s="79" t="s">
        <v>212</v>
      </c>
    </row>
    <row r="9" spans="1:5" s="70" customFormat="1" ht="36.75" customHeight="1">
      <c r="A9" s="203"/>
      <c r="B9" s="120" t="s">
        <v>607</v>
      </c>
      <c r="C9" s="212">
        <v>0</v>
      </c>
      <c r="D9" s="217"/>
    </row>
    <row r="10" spans="1:5" s="70" customFormat="1" ht="39" customHeight="1">
      <c r="A10" s="203"/>
      <c r="B10" s="24" t="s">
        <v>606</v>
      </c>
      <c r="C10" s="214">
        <v>1</v>
      </c>
      <c r="D10" s="215"/>
    </row>
    <row r="11" spans="1:5" s="70" customFormat="1" ht="42.75" customHeight="1">
      <c r="A11" s="203"/>
      <c r="B11" s="120" t="s">
        <v>608</v>
      </c>
      <c r="C11" s="212">
        <v>2</v>
      </c>
      <c r="D11" s="215"/>
    </row>
    <row r="12" spans="1:5" s="70" customFormat="1" ht="35.25" customHeight="1">
      <c r="A12" s="203"/>
      <c r="B12" s="24" t="s">
        <v>509</v>
      </c>
      <c r="C12" s="214">
        <v>3</v>
      </c>
      <c r="D12" s="215"/>
    </row>
    <row r="13" spans="1:5">
      <c r="B13" s="6"/>
      <c r="D13" s="73"/>
    </row>
    <row r="14" spans="1:5" ht="16" customHeight="1">
      <c r="B14" s="82" t="s">
        <v>283</v>
      </c>
      <c r="C14" s="82"/>
    </row>
    <row r="15" spans="1:5">
      <c r="B15" s="82"/>
      <c r="C15" s="82"/>
    </row>
    <row r="16" spans="1:5" ht="63" customHeight="1">
      <c r="B16" s="90" t="s">
        <v>197</v>
      </c>
      <c r="C16" s="73"/>
      <c r="D16" s="73"/>
    </row>
    <row r="18" spans="1:4" ht="16" customHeight="1">
      <c r="B18" s="82" t="s">
        <v>53</v>
      </c>
      <c r="C18" s="82"/>
      <c r="D18" s="82"/>
    </row>
    <row r="19" spans="1:4">
      <c r="B19" s="82"/>
    </row>
    <row r="20" spans="1:4" ht="64" customHeight="1">
      <c r="B20" s="90" t="s">
        <v>197</v>
      </c>
      <c r="C20" s="73"/>
      <c r="D20" s="73"/>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1500-000000000000}"/>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0417" r:id="rId3" name="Check Box 1">
              <controlPr locked="0" defaultSize="0" autoFill="0" autoLine="0" autoPict="0">
                <anchor moveWithCells="1">
                  <from>
                    <xdr:col>1</xdr:col>
                    <xdr:colOff>2506980</xdr:colOff>
                    <xdr:row>0</xdr:row>
                    <xdr:rowOff>419100</xdr:rowOff>
                  </from>
                  <to>
                    <xdr:col>1</xdr:col>
                    <xdr:colOff>3314700</xdr:colOff>
                    <xdr:row>2</xdr:row>
                    <xdr:rowOff>0</xdr:rowOff>
                  </to>
                </anchor>
              </controlPr>
            </control>
          </mc:Choice>
        </mc:AlternateContent>
        <mc:AlternateContent xmlns:mc="http://schemas.openxmlformats.org/markup-compatibility/2006">
          <mc:Choice Requires="x14">
            <control shapeId="60418"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60419"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60420"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60421"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60422"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60423"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60424"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60425"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E45"/>
  <sheetViews>
    <sheetView showGridLines="0" workbookViewId="0">
      <selection activeCell="D9" sqref="D9"/>
    </sheetView>
  </sheetViews>
  <sheetFormatPr defaultColWidth="16.59765625" defaultRowHeight="15.6"/>
  <cols>
    <col min="1" max="1" width="16.59765625" style="204"/>
    <col min="2" max="2" width="106.84765625" style="1" customWidth="1"/>
    <col min="3" max="3" width="17.59765625" style="1" customWidth="1"/>
    <col min="4" max="4" width="21.84765625" style="1" customWidth="1"/>
    <col min="5" max="16384" width="16.59765625" style="1"/>
  </cols>
  <sheetData>
    <row r="1" spans="1:5" s="118" customFormat="1" ht="30.6" customHeight="1">
      <c r="A1" s="202"/>
      <c r="B1" s="118" t="s">
        <v>510</v>
      </c>
      <c r="C1" s="252" t="s">
        <v>173</v>
      </c>
      <c r="D1" s="252"/>
      <c r="E1" s="252"/>
    </row>
    <row r="2" spans="1:5">
      <c r="B2" s="148" t="s">
        <v>293</v>
      </c>
    </row>
    <row r="3" spans="1:5">
      <c r="B3" s="82"/>
    </row>
    <row r="4" spans="1:5" s="70" customFormat="1" ht="38.5" customHeight="1">
      <c r="A4" s="203"/>
      <c r="B4" s="84" t="s">
        <v>18</v>
      </c>
      <c r="C4" s="84"/>
      <c r="D4" s="84"/>
    </row>
    <row r="5" spans="1:5">
      <c r="B5" s="82"/>
    </row>
    <row r="6" spans="1:5" ht="46.5" customHeight="1">
      <c r="B6" s="81" t="s">
        <v>317</v>
      </c>
      <c r="C6" s="86"/>
      <c r="D6" s="86"/>
    </row>
    <row r="7" spans="1:5">
      <c r="B7" s="82"/>
    </row>
    <row r="8" spans="1:5" s="3" customFormat="1" ht="43.15" customHeight="1">
      <c r="B8" s="83" t="s">
        <v>198</v>
      </c>
      <c r="C8" s="83" t="s">
        <v>296</v>
      </c>
      <c r="D8" s="79" t="s">
        <v>212</v>
      </c>
    </row>
    <row r="9" spans="1:5" s="70" customFormat="1" ht="36" customHeight="1">
      <c r="A9" s="203"/>
      <c r="B9" s="120" t="s">
        <v>511</v>
      </c>
      <c r="C9" s="212">
        <v>0</v>
      </c>
      <c r="D9" s="212"/>
    </row>
    <row r="10" spans="1:5" s="70" customFormat="1" ht="40" customHeight="1">
      <c r="A10" s="203"/>
      <c r="B10" s="24" t="s">
        <v>512</v>
      </c>
      <c r="C10" s="214">
        <v>1</v>
      </c>
      <c r="D10" s="215"/>
    </row>
    <row r="11" spans="1:5" s="70" customFormat="1" ht="40" customHeight="1">
      <c r="A11" s="203"/>
      <c r="B11" s="120" t="s">
        <v>513</v>
      </c>
      <c r="C11" s="212">
        <v>2</v>
      </c>
      <c r="D11" s="215"/>
    </row>
    <row r="12" spans="1:5" s="70" customFormat="1" ht="40" customHeight="1">
      <c r="A12" s="203"/>
      <c r="B12" s="24" t="s">
        <v>514</v>
      </c>
      <c r="C12" s="214">
        <v>3</v>
      </c>
      <c r="D12" s="215"/>
    </row>
    <row r="13" spans="1:5">
      <c r="D13" s="73"/>
    </row>
    <row r="14" spans="1:5" ht="16" customHeight="1">
      <c r="B14" s="82" t="s">
        <v>283</v>
      </c>
      <c r="C14" s="82"/>
    </row>
    <row r="15" spans="1:5">
      <c r="B15" s="82"/>
      <c r="C15" s="82"/>
    </row>
    <row r="16" spans="1:5" ht="63" customHeight="1">
      <c r="B16" s="90" t="s">
        <v>197</v>
      </c>
      <c r="C16" s="84"/>
      <c r="D16" s="84"/>
    </row>
    <row r="18" spans="1:4" ht="16" customHeight="1">
      <c r="B18" s="82" t="s">
        <v>53</v>
      </c>
      <c r="C18" s="82"/>
      <c r="D18" s="82"/>
    </row>
    <row r="19" spans="1:4">
      <c r="B19" s="82"/>
    </row>
    <row r="20" spans="1:4" ht="64" customHeight="1">
      <c r="B20" s="90" t="s">
        <v>197</v>
      </c>
      <c r="C20" s="84"/>
      <c r="D20" s="84"/>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1600-000000000000}"/>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1441" r:id="rId3" name="Check Box 1">
              <controlPr locked="0" defaultSize="0" autoFill="0" autoLine="0" autoPict="0">
                <anchor moveWithCells="1">
                  <from>
                    <xdr:col>1</xdr:col>
                    <xdr:colOff>2468880</xdr:colOff>
                    <xdr:row>1</xdr:row>
                    <xdr:rowOff>11430</xdr:rowOff>
                  </from>
                  <to>
                    <xdr:col>1</xdr:col>
                    <xdr:colOff>3276600</xdr:colOff>
                    <xdr:row>2</xdr:row>
                    <xdr:rowOff>19050</xdr:rowOff>
                  </to>
                </anchor>
              </controlPr>
            </control>
          </mc:Choice>
        </mc:AlternateContent>
        <mc:AlternateContent xmlns:mc="http://schemas.openxmlformats.org/markup-compatibility/2006">
          <mc:Choice Requires="x14">
            <control shapeId="61442"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61443"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61444"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61445"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61446"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61447"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61448"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61449"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E45"/>
  <sheetViews>
    <sheetView showGridLines="0" workbookViewId="0">
      <selection activeCell="D9" sqref="D9"/>
    </sheetView>
  </sheetViews>
  <sheetFormatPr defaultColWidth="16.59765625" defaultRowHeight="15.6"/>
  <cols>
    <col min="1" max="1" width="16.59765625" style="204"/>
    <col min="2" max="2" width="106.84765625" style="1" customWidth="1"/>
    <col min="3" max="3" width="17.59765625" style="1" customWidth="1"/>
    <col min="4" max="4" width="21.5" style="1" customWidth="1"/>
    <col min="5" max="16384" width="16.59765625" style="1"/>
  </cols>
  <sheetData>
    <row r="1" spans="1:5" s="118" customFormat="1" ht="32.5" customHeight="1">
      <c r="A1" s="202"/>
      <c r="B1" s="118" t="s">
        <v>515</v>
      </c>
      <c r="C1" s="252" t="s">
        <v>173</v>
      </c>
      <c r="D1" s="252"/>
      <c r="E1" s="252"/>
    </row>
    <row r="2" spans="1:5">
      <c r="B2" s="148" t="s">
        <v>293</v>
      </c>
    </row>
    <row r="3" spans="1:5">
      <c r="B3" s="82"/>
    </row>
    <row r="4" spans="1:5" s="70" customFormat="1" ht="35.5" customHeight="1">
      <c r="A4" s="203"/>
      <c r="B4" s="83" t="s">
        <v>318</v>
      </c>
      <c r="C4" s="84"/>
      <c r="D4" s="84"/>
    </row>
    <row r="5" spans="1:5">
      <c r="B5" s="82"/>
    </row>
    <row r="6" spans="1:5" ht="56.5" customHeight="1">
      <c r="B6" s="81" t="s">
        <v>319</v>
      </c>
      <c r="C6" s="86"/>
      <c r="D6" s="86"/>
    </row>
    <row r="7" spans="1:5">
      <c r="B7" s="82"/>
    </row>
    <row r="8" spans="1:5" s="3" customFormat="1" ht="45" customHeight="1">
      <c r="B8" s="83" t="s">
        <v>198</v>
      </c>
      <c r="C8" s="83" t="s">
        <v>296</v>
      </c>
      <c r="D8" s="79" t="s">
        <v>212</v>
      </c>
    </row>
    <row r="9" spans="1:5" s="70" customFormat="1" ht="35.25" customHeight="1">
      <c r="A9" s="203"/>
      <c r="B9" s="122" t="s">
        <v>516</v>
      </c>
      <c r="C9" s="212">
        <v>0</v>
      </c>
      <c r="D9" s="212"/>
    </row>
    <row r="10" spans="1:5" s="70" customFormat="1" ht="32.25" customHeight="1">
      <c r="A10" s="203"/>
      <c r="B10" s="123" t="s">
        <v>517</v>
      </c>
      <c r="C10" s="214">
        <v>1</v>
      </c>
      <c r="D10" s="215"/>
    </row>
    <row r="11" spans="1:5" s="70" customFormat="1" ht="31.5" customHeight="1">
      <c r="A11" s="203"/>
      <c r="B11" s="124" t="s">
        <v>518</v>
      </c>
      <c r="C11" s="212">
        <v>2</v>
      </c>
      <c r="D11" s="215"/>
    </row>
    <row r="12" spans="1:5" s="70" customFormat="1" ht="32.25" customHeight="1">
      <c r="A12" s="203"/>
      <c r="B12" s="123" t="s">
        <v>519</v>
      </c>
      <c r="C12" s="214">
        <v>3</v>
      </c>
      <c r="D12" s="215"/>
    </row>
    <row r="13" spans="1:5">
      <c r="D13" s="73"/>
    </row>
    <row r="14" spans="1:5" ht="16" customHeight="1">
      <c r="B14" s="83" t="s">
        <v>283</v>
      </c>
      <c r="C14" s="82"/>
    </row>
    <row r="15" spans="1:5">
      <c r="B15" s="82"/>
      <c r="C15" s="82"/>
    </row>
    <row r="16" spans="1:5" ht="63" customHeight="1">
      <c r="B16" s="90" t="s">
        <v>197</v>
      </c>
      <c r="C16" s="71"/>
      <c r="D16" s="71"/>
    </row>
    <row r="18" spans="1:4" ht="16" customHeight="1">
      <c r="B18" s="82" t="s">
        <v>53</v>
      </c>
      <c r="C18" s="82"/>
      <c r="D18" s="82"/>
    </row>
    <row r="19" spans="1:4">
      <c r="B19" s="82"/>
    </row>
    <row r="20" spans="1:4" ht="64" customHeight="1">
      <c r="B20" s="90" t="s">
        <v>197</v>
      </c>
      <c r="C20" s="71"/>
      <c r="D20" s="71"/>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1700-000000000000}"/>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Check Box 1">
              <controlPr locked="0" defaultSize="0" autoFill="0" autoLine="0" autoPict="0">
                <anchor moveWithCells="1">
                  <from>
                    <xdr:col>1</xdr:col>
                    <xdr:colOff>2487930</xdr:colOff>
                    <xdr:row>1</xdr:row>
                    <xdr:rowOff>0</xdr:rowOff>
                  </from>
                  <to>
                    <xdr:col>1</xdr:col>
                    <xdr:colOff>3295650</xdr:colOff>
                    <xdr:row>2</xdr:row>
                    <xdr:rowOff>11430</xdr:rowOff>
                  </to>
                </anchor>
              </controlPr>
            </control>
          </mc:Choice>
        </mc:AlternateContent>
        <mc:AlternateContent xmlns:mc="http://schemas.openxmlformats.org/markup-compatibility/2006">
          <mc:Choice Requires="x14">
            <control shapeId="62466" r:id="rId5"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62467" r:id="rId6"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62468" r:id="rId7"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62469" r:id="rId8"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62470" r:id="rId9"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62471" r:id="rId10"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62472" r:id="rId11"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62473" r:id="rId12"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E45"/>
  <sheetViews>
    <sheetView showGridLines="0" workbookViewId="0">
      <selection activeCell="D9" sqref="D9"/>
    </sheetView>
  </sheetViews>
  <sheetFormatPr defaultColWidth="16.59765625" defaultRowHeight="15.6"/>
  <cols>
    <col min="1" max="1" width="16.59765625" style="204"/>
    <col min="2" max="2" width="106.84765625" style="1" customWidth="1"/>
    <col min="3" max="3" width="17.59765625" style="1" customWidth="1"/>
    <col min="4" max="4" width="21.34765625" style="1" customWidth="1"/>
    <col min="5" max="16384" width="16.59765625" style="1"/>
  </cols>
  <sheetData>
    <row r="1" spans="1:5" s="118" customFormat="1" ht="30.6" customHeight="1">
      <c r="A1" s="202"/>
      <c r="B1" s="118" t="s">
        <v>520</v>
      </c>
      <c r="C1" s="252" t="s">
        <v>173</v>
      </c>
      <c r="D1" s="252"/>
      <c r="E1" s="252"/>
    </row>
    <row r="2" spans="1:5">
      <c r="B2" s="148" t="s">
        <v>293</v>
      </c>
    </row>
    <row r="3" spans="1:5">
      <c r="B3" s="82"/>
    </row>
    <row r="4" spans="1:5" s="70" customFormat="1" ht="40" customHeight="1">
      <c r="A4" s="203"/>
      <c r="B4" s="84" t="s">
        <v>609</v>
      </c>
      <c r="C4" s="84"/>
      <c r="D4" s="84"/>
    </row>
    <row r="5" spans="1:5">
      <c r="B5" s="82"/>
    </row>
    <row r="6" spans="1:5" ht="129.6" customHeight="1">
      <c r="B6" s="81" t="s">
        <v>320</v>
      </c>
      <c r="C6" s="86"/>
      <c r="D6" s="86"/>
    </row>
    <row r="7" spans="1:5">
      <c r="B7" s="82"/>
    </row>
    <row r="8" spans="1:5" s="3" customFormat="1" ht="41.1" customHeight="1">
      <c r="B8" s="83" t="s">
        <v>198</v>
      </c>
      <c r="C8" s="83" t="s">
        <v>296</v>
      </c>
      <c r="D8" s="79" t="s">
        <v>212</v>
      </c>
    </row>
    <row r="9" spans="1:5" s="70" customFormat="1" ht="39" customHeight="1">
      <c r="A9" s="203"/>
      <c r="B9" s="120" t="s">
        <v>521</v>
      </c>
      <c r="C9" s="212">
        <v>0</v>
      </c>
      <c r="D9" s="212"/>
    </row>
    <row r="10" spans="1:5" s="70" customFormat="1" ht="39" customHeight="1">
      <c r="A10" s="203"/>
      <c r="B10" s="24" t="s">
        <v>522</v>
      </c>
      <c r="C10" s="214">
        <v>1</v>
      </c>
      <c r="D10" s="215"/>
    </row>
    <row r="11" spans="1:5" s="70" customFormat="1" ht="39" customHeight="1">
      <c r="A11" s="203"/>
      <c r="B11" s="120" t="s">
        <v>523</v>
      </c>
      <c r="C11" s="212">
        <v>2</v>
      </c>
      <c r="D11" s="215"/>
    </row>
    <row r="12" spans="1:5" s="70" customFormat="1" ht="39" customHeight="1">
      <c r="A12" s="203"/>
      <c r="B12" s="24" t="s">
        <v>524</v>
      </c>
      <c r="C12" s="214">
        <v>3</v>
      </c>
      <c r="D12" s="215"/>
    </row>
    <row r="13" spans="1:5">
      <c r="D13" s="73"/>
    </row>
    <row r="14" spans="1:5" ht="16" customHeight="1">
      <c r="B14" s="83" t="s">
        <v>283</v>
      </c>
      <c r="C14" s="82"/>
    </row>
    <row r="15" spans="1:5">
      <c r="B15" s="82"/>
      <c r="C15" s="82"/>
    </row>
    <row r="16" spans="1:5" ht="63" customHeight="1">
      <c r="B16" s="90" t="s">
        <v>197</v>
      </c>
      <c r="C16" s="84"/>
      <c r="D16" s="84"/>
    </row>
    <row r="18" spans="1:4" ht="16" customHeight="1">
      <c r="B18" s="82" t="s">
        <v>53</v>
      </c>
      <c r="C18" s="82"/>
      <c r="D18" s="82"/>
    </row>
    <row r="19" spans="1:4">
      <c r="B19" s="82"/>
    </row>
    <row r="20" spans="1:4" ht="64" customHeight="1">
      <c r="B20" s="90" t="s">
        <v>197</v>
      </c>
      <c r="C20" s="84"/>
      <c r="D20" s="84"/>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1800-000000000000}"/>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3489" r:id="rId3" name="Check Box 1">
              <controlPr locked="0" defaultSize="0" autoFill="0" autoLine="0" autoPict="0">
                <anchor moveWithCells="1">
                  <from>
                    <xdr:col>1</xdr:col>
                    <xdr:colOff>2506980</xdr:colOff>
                    <xdr:row>1</xdr:row>
                    <xdr:rowOff>0</xdr:rowOff>
                  </from>
                  <to>
                    <xdr:col>1</xdr:col>
                    <xdr:colOff>3314700</xdr:colOff>
                    <xdr:row>2</xdr:row>
                    <xdr:rowOff>11430</xdr:rowOff>
                  </to>
                </anchor>
              </controlPr>
            </control>
          </mc:Choice>
        </mc:AlternateContent>
        <mc:AlternateContent xmlns:mc="http://schemas.openxmlformats.org/markup-compatibility/2006">
          <mc:Choice Requires="x14">
            <control shapeId="63490"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63491"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63492"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63493"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63494"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63495"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63496"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63497"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E45"/>
  <sheetViews>
    <sheetView showGridLines="0" workbookViewId="0">
      <selection activeCell="D9" sqref="D9"/>
    </sheetView>
  </sheetViews>
  <sheetFormatPr defaultColWidth="16.59765625" defaultRowHeight="15.6"/>
  <cols>
    <col min="1" max="1" width="16.59765625" style="204"/>
    <col min="2" max="2" width="106.84765625" style="1" customWidth="1"/>
    <col min="3" max="3" width="17.59765625" style="1" customWidth="1"/>
    <col min="4" max="4" width="22.09765625" style="1" customWidth="1"/>
    <col min="5" max="16384" width="16.59765625" style="1"/>
  </cols>
  <sheetData>
    <row r="1" spans="1:5" s="118" customFormat="1" ht="37" customHeight="1">
      <c r="A1" s="202"/>
      <c r="B1" s="118" t="s">
        <v>525</v>
      </c>
      <c r="C1" s="252" t="s">
        <v>173</v>
      </c>
      <c r="D1" s="252"/>
      <c r="E1" s="252"/>
    </row>
    <row r="2" spans="1:5">
      <c r="B2" s="148" t="s">
        <v>293</v>
      </c>
    </row>
    <row r="3" spans="1:5">
      <c r="B3" s="82"/>
    </row>
    <row r="4" spans="1:5" s="70" customFormat="1" ht="41.1" customHeight="1">
      <c r="A4" s="203"/>
      <c r="B4" s="84" t="s">
        <v>610</v>
      </c>
      <c r="C4" s="84"/>
      <c r="D4" s="84"/>
    </row>
    <row r="5" spans="1:5">
      <c r="B5" s="82"/>
    </row>
    <row r="6" spans="1:5" ht="51" customHeight="1">
      <c r="B6" s="81" t="s">
        <v>321</v>
      </c>
      <c r="C6" s="86"/>
      <c r="D6" s="86"/>
    </row>
    <row r="7" spans="1:5">
      <c r="B7" s="82"/>
    </row>
    <row r="8" spans="1:5" s="3" customFormat="1" ht="38.1" customHeight="1">
      <c r="B8" s="83" t="s">
        <v>198</v>
      </c>
      <c r="C8" s="83" t="s">
        <v>296</v>
      </c>
      <c r="D8" s="79" t="s">
        <v>212</v>
      </c>
    </row>
    <row r="9" spans="1:5" s="70" customFormat="1" ht="38.5" customHeight="1">
      <c r="A9" s="203"/>
      <c r="B9" s="120" t="s">
        <v>526</v>
      </c>
      <c r="C9" s="212">
        <v>0</v>
      </c>
      <c r="D9" s="212"/>
    </row>
    <row r="10" spans="1:5" s="70" customFormat="1" ht="31.5" customHeight="1">
      <c r="A10" s="203"/>
      <c r="B10" s="24" t="s">
        <v>527</v>
      </c>
      <c r="C10" s="214">
        <v>1</v>
      </c>
      <c r="D10" s="215"/>
    </row>
    <row r="11" spans="1:5" s="70" customFormat="1" ht="36" customHeight="1">
      <c r="A11" s="203"/>
      <c r="B11" s="120" t="s">
        <v>528</v>
      </c>
      <c r="C11" s="212">
        <v>2</v>
      </c>
      <c r="D11" s="215"/>
    </row>
    <row r="12" spans="1:5" s="70" customFormat="1" ht="33.75" customHeight="1">
      <c r="A12" s="203"/>
      <c r="B12" s="24" t="s">
        <v>529</v>
      </c>
      <c r="C12" s="214">
        <v>3</v>
      </c>
      <c r="D12" s="215"/>
    </row>
    <row r="13" spans="1:5">
      <c r="D13" s="73"/>
    </row>
    <row r="14" spans="1:5" ht="16" customHeight="1">
      <c r="B14" s="83" t="s">
        <v>283</v>
      </c>
      <c r="C14" s="82"/>
    </row>
    <row r="15" spans="1:5">
      <c r="B15" s="82"/>
      <c r="C15" s="82"/>
    </row>
    <row r="16" spans="1:5" ht="63" customHeight="1">
      <c r="B16" s="90" t="s">
        <v>197</v>
      </c>
      <c r="C16" s="84"/>
      <c r="D16" s="84"/>
    </row>
    <row r="18" spans="1:4" ht="16" customHeight="1">
      <c r="B18" s="82" t="s">
        <v>53</v>
      </c>
      <c r="C18" s="82"/>
      <c r="D18" s="82"/>
    </row>
    <row r="19" spans="1:4">
      <c r="B19" s="82"/>
    </row>
    <row r="20" spans="1:4" ht="64" customHeight="1">
      <c r="B20" s="90" t="s">
        <v>197</v>
      </c>
      <c r="C20" s="84"/>
      <c r="D20" s="84"/>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1900-000000000000}"/>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4513" r:id="rId3" name="Check Box 1">
              <controlPr defaultSize="0" autoFill="0" autoLine="0" autoPict="0">
                <anchor moveWithCells="1">
                  <from>
                    <xdr:col>1</xdr:col>
                    <xdr:colOff>2506980</xdr:colOff>
                    <xdr:row>1</xdr:row>
                    <xdr:rowOff>0</xdr:rowOff>
                  </from>
                  <to>
                    <xdr:col>1</xdr:col>
                    <xdr:colOff>3314700</xdr:colOff>
                    <xdr:row>2</xdr:row>
                    <xdr:rowOff>11430</xdr:rowOff>
                  </to>
                </anchor>
              </controlPr>
            </control>
          </mc:Choice>
        </mc:AlternateContent>
        <mc:AlternateContent xmlns:mc="http://schemas.openxmlformats.org/markup-compatibility/2006">
          <mc:Choice Requires="x14">
            <control shapeId="64514"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64515"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64516"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64517"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64518"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64519"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64520"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64521"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E45"/>
  <sheetViews>
    <sheetView showGridLines="0" workbookViewId="0">
      <selection activeCell="D9" sqref="D9"/>
    </sheetView>
  </sheetViews>
  <sheetFormatPr defaultColWidth="16.59765625" defaultRowHeight="15.6"/>
  <cols>
    <col min="1" max="1" width="16.59765625" style="204"/>
    <col min="2" max="2" width="106.84765625" style="1" customWidth="1"/>
    <col min="3" max="3" width="16.34765625" style="1" customWidth="1"/>
    <col min="4" max="4" width="20.5" style="1" customWidth="1"/>
    <col min="5" max="16384" width="16.59765625" style="1"/>
  </cols>
  <sheetData>
    <row r="1" spans="1:5" s="118" customFormat="1" ht="29.5" customHeight="1">
      <c r="A1" s="202"/>
      <c r="B1" s="118" t="s">
        <v>530</v>
      </c>
      <c r="C1" s="252" t="s">
        <v>173</v>
      </c>
      <c r="D1" s="252"/>
      <c r="E1" s="252"/>
    </row>
    <row r="2" spans="1:5">
      <c r="B2" s="148" t="s">
        <v>293</v>
      </c>
    </row>
    <row r="3" spans="1:5">
      <c r="B3" s="82"/>
    </row>
    <row r="4" spans="1:5" ht="69.400000000000006" customHeight="1">
      <c r="B4" s="84" t="s">
        <v>22</v>
      </c>
      <c r="C4" s="82"/>
      <c r="D4" s="82"/>
    </row>
    <row r="5" spans="1:5">
      <c r="B5" s="82"/>
    </row>
    <row r="6" spans="1:5" ht="94.9" customHeight="1">
      <c r="B6" s="81" t="s">
        <v>322</v>
      </c>
      <c r="C6" s="86"/>
      <c r="D6" s="86"/>
    </row>
    <row r="7" spans="1:5">
      <c r="B7" s="82"/>
    </row>
    <row r="8" spans="1:5" s="3" customFormat="1" ht="39" customHeight="1">
      <c r="B8" s="83" t="s">
        <v>198</v>
      </c>
      <c r="C8" s="83" t="s">
        <v>296</v>
      </c>
      <c r="D8" s="79" t="s">
        <v>212</v>
      </c>
    </row>
    <row r="9" spans="1:5" s="70" customFormat="1" ht="37.5" customHeight="1">
      <c r="A9" s="203"/>
      <c r="B9" s="120" t="s">
        <v>531</v>
      </c>
      <c r="C9" s="212">
        <v>0</v>
      </c>
      <c r="D9" s="212"/>
    </row>
    <row r="10" spans="1:5" s="70" customFormat="1" ht="40.5" customHeight="1">
      <c r="A10" s="203"/>
      <c r="B10" s="24" t="s">
        <v>532</v>
      </c>
      <c r="C10" s="214">
        <v>1</v>
      </c>
      <c r="D10" s="215"/>
    </row>
    <row r="11" spans="1:5" s="70" customFormat="1" ht="31.5" customHeight="1">
      <c r="A11" s="203"/>
      <c r="B11" s="120" t="s">
        <v>533</v>
      </c>
      <c r="C11" s="212">
        <v>2</v>
      </c>
      <c r="D11" s="215"/>
    </row>
    <row r="12" spans="1:5" s="70" customFormat="1" ht="33" customHeight="1">
      <c r="A12" s="203"/>
      <c r="B12" s="24" t="s">
        <v>534</v>
      </c>
      <c r="C12" s="214">
        <v>3</v>
      </c>
      <c r="D12" s="215"/>
    </row>
    <row r="13" spans="1:5">
      <c r="B13" s="6"/>
      <c r="D13" s="73"/>
    </row>
    <row r="14" spans="1:5" ht="16" customHeight="1">
      <c r="B14" s="83" t="s">
        <v>283</v>
      </c>
      <c r="C14" s="82"/>
    </row>
    <row r="15" spans="1:5">
      <c r="B15" s="82"/>
      <c r="C15" s="82"/>
    </row>
    <row r="16" spans="1:5" ht="63" customHeight="1">
      <c r="B16" s="90" t="s">
        <v>197</v>
      </c>
      <c r="C16" s="84"/>
      <c r="D16" s="84"/>
    </row>
    <row r="18" spans="1:4" ht="16" customHeight="1">
      <c r="B18" s="82" t="s">
        <v>53</v>
      </c>
      <c r="C18" s="82"/>
      <c r="D18" s="82"/>
    </row>
    <row r="19" spans="1:4">
      <c r="B19" s="82"/>
    </row>
    <row r="20" spans="1:4" ht="64" customHeight="1">
      <c r="B20" s="90" t="s">
        <v>197</v>
      </c>
      <c r="C20" s="84"/>
      <c r="D20" s="84"/>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1A00-000000000000}"/>
  </hyperlinks>
  <pageMargins left="0.7" right="0.7" top="0.75" bottom="0.75" header="0.3" footer="0.3"/>
  <pageSetup paperSize="9" scale="67" orientation="portrait" horizontalDpi="0" verticalDpi="0"/>
  <rowBreaks count="1" manualBreakCount="1">
    <brk id="22"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65537" r:id="rId3" name="Check Box 1">
              <controlPr locked="0" defaultSize="0" autoFill="0" autoLine="0" autoPict="0">
                <anchor moveWithCells="1">
                  <from>
                    <xdr:col>1</xdr:col>
                    <xdr:colOff>2545080</xdr:colOff>
                    <xdr:row>0</xdr:row>
                    <xdr:rowOff>361950</xdr:rowOff>
                  </from>
                  <to>
                    <xdr:col>1</xdr:col>
                    <xdr:colOff>3352800</xdr:colOff>
                    <xdr:row>2</xdr:row>
                    <xdr:rowOff>0</xdr:rowOff>
                  </to>
                </anchor>
              </controlPr>
            </control>
          </mc:Choice>
        </mc:AlternateContent>
        <mc:AlternateContent xmlns:mc="http://schemas.openxmlformats.org/markup-compatibility/2006">
          <mc:Choice Requires="x14">
            <control shapeId="65538"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65539"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65540"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65541"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65542"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65543"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65544"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65545"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E42"/>
  <sheetViews>
    <sheetView showGridLines="0" workbookViewId="0"/>
  </sheetViews>
  <sheetFormatPr defaultColWidth="16.59765625" defaultRowHeight="15.6"/>
  <cols>
    <col min="2" max="2" width="106.84765625" customWidth="1"/>
    <col min="3" max="4" width="17.59765625" customWidth="1"/>
    <col min="5" max="5" width="14.59765625" customWidth="1"/>
  </cols>
  <sheetData>
    <row r="1" spans="1:5" s="85" customFormat="1" ht="32.65" customHeight="1">
      <c r="B1" s="118" t="s">
        <v>535</v>
      </c>
      <c r="C1" s="255" t="s">
        <v>173</v>
      </c>
      <c r="D1" s="255"/>
      <c r="E1" s="255"/>
    </row>
    <row r="2" spans="1:5" s="149" customFormat="1" ht="21" customHeight="1">
      <c r="B2" s="148" t="s">
        <v>293</v>
      </c>
    </row>
    <row r="3" spans="1:5" s="85" customFormat="1" ht="21" customHeight="1"/>
    <row r="4" spans="1:5" s="85" customFormat="1" ht="114" customHeight="1">
      <c r="B4" s="81" t="s">
        <v>323</v>
      </c>
      <c r="C4" s="86"/>
      <c r="D4" s="86"/>
    </row>
    <row r="5" spans="1:5" s="1" customFormat="1">
      <c r="A5" s="204"/>
      <c r="B5" s="82"/>
    </row>
    <row r="6" spans="1:5" s="1" customFormat="1" ht="31.2">
      <c r="A6" s="204"/>
      <c r="B6" s="5" t="s">
        <v>23</v>
      </c>
      <c r="C6" s="78" t="s">
        <v>199</v>
      </c>
      <c r="D6" s="72" t="s">
        <v>216</v>
      </c>
    </row>
    <row r="7" spans="1:5" s="70" customFormat="1" ht="60" customHeight="1">
      <c r="A7" s="203"/>
      <c r="B7" s="120" t="s">
        <v>536</v>
      </c>
      <c r="C7" s="143"/>
      <c r="D7" s="213"/>
    </row>
    <row r="8" spans="1:5" s="70" customFormat="1" ht="59.25" customHeight="1">
      <c r="A8" s="203"/>
      <c r="B8" s="24" t="s">
        <v>537</v>
      </c>
      <c r="C8" s="125"/>
      <c r="D8" s="121"/>
    </row>
    <row r="9" spans="1:5" s="70" customFormat="1" ht="69.75" customHeight="1">
      <c r="A9" s="203"/>
      <c r="B9" s="120" t="s">
        <v>538</v>
      </c>
      <c r="C9" s="143"/>
      <c r="D9" s="121"/>
    </row>
    <row r="10" spans="1:5" s="1" customFormat="1">
      <c r="A10" s="204"/>
      <c r="D10" s="73"/>
    </row>
    <row r="11" spans="1:5" s="1" customFormat="1" ht="16" customHeight="1">
      <c r="A11" s="204"/>
      <c r="B11" s="82" t="s">
        <v>284</v>
      </c>
      <c r="C11" s="82"/>
    </row>
    <row r="12" spans="1:5" s="1" customFormat="1">
      <c r="A12" s="204"/>
      <c r="B12" s="82"/>
      <c r="C12" s="82"/>
    </row>
    <row r="13" spans="1:5" s="1" customFormat="1" ht="63" customHeight="1">
      <c r="A13" s="204"/>
      <c r="B13" s="90" t="s">
        <v>197</v>
      </c>
      <c r="C13" s="84"/>
      <c r="D13" s="84"/>
    </row>
    <row r="14" spans="1:5" s="1" customFormat="1">
      <c r="A14" s="204"/>
    </row>
    <row r="15" spans="1:5" s="1" customFormat="1" ht="16" customHeight="1">
      <c r="A15" s="204"/>
      <c r="B15" s="82" t="s">
        <v>200</v>
      </c>
      <c r="C15" s="82"/>
      <c r="D15" s="82"/>
    </row>
    <row r="16" spans="1:5" s="1" customFormat="1">
      <c r="A16" s="204"/>
      <c r="B16" s="82"/>
    </row>
    <row r="17" spans="1:4" s="1" customFormat="1" ht="64" customHeight="1">
      <c r="A17" s="204"/>
      <c r="B17" s="90" t="s">
        <v>197</v>
      </c>
      <c r="C17" s="84"/>
      <c r="D17" s="84"/>
    </row>
    <row r="18" spans="1:4" s="1" customFormat="1">
      <c r="A18" s="204"/>
      <c r="B18" s="71"/>
      <c r="C18" s="84"/>
      <c r="D18" s="84"/>
    </row>
    <row r="19" spans="1:4" s="204" customFormat="1" ht="30.75" customHeight="1">
      <c r="B19" s="205" t="s">
        <v>647</v>
      </c>
      <c r="C19" s="205"/>
    </row>
    <row r="20" spans="1:4" s="204" customFormat="1">
      <c r="B20" s="205"/>
      <c r="C20" s="205"/>
    </row>
    <row r="21" spans="1:4" s="204" customFormat="1">
      <c r="B21" s="80"/>
    </row>
    <row r="22" spans="1:4" s="204" customFormat="1">
      <c r="B22" s="12"/>
    </row>
    <row r="23" spans="1:4" s="204" customFormat="1" ht="16" customHeight="1">
      <c r="B23" s="80"/>
    </row>
    <row r="24" spans="1:4" s="204" customFormat="1" ht="16" customHeight="1">
      <c r="B24" s="12"/>
    </row>
    <row r="25" spans="1:4" s="204" customFormat="1">
      <c r="B25" s="80"/>
    </row>
    <row r="26" spans="1:4" s="204" customFormat="1">
      <c r="B26" s="12"/>
    </row>
    <row r="27" spans="1:4" s="204" customFormat="1">
      <c r="B27" s="80"/>
    </row>
    <row r="28" spans="1:4" s="204" customFormat="1">
      <c r="B28" s="12"/>
    </row>
    <row r="29" spans="1:4" s="204" customFormat="1">
      <c r="A29" s="206"/>
      <c r="B29" s="207"/>
    </row>
    <row r="30" spans="1:4" s="204" customFormat="1">
      <c r="A30" s="206"/>
      <c r="B30" s="207"/>
    </row>
    <row r="31" spans="1:4" s="204" customFormat="1">
      <c r="A31" s="206"/>
      <c r="B31" s="206"/>
    </row>
    <row r="32" spans="1:4" s="204" customFormat="1"/>
    <row r="33" spans="1:2" s="204" customFormat="1"/>
    <row r="34" spans="1:2" s="204" customFormat="1"/>
    <row r="35" spans="1:2" s="204" customFormat="1"/>
    <row r="36" spans="1:2" s="204" customFormat="1"/>
    <row r="37" spans="1:2" s="204" customFormat="1"/>
    <row r="38" spans="1:2" s="204" customFormat="1">
      <c r="A38" s="206"/>
      <c r="B38" s="207"/>
    </row>
    <row r="39" spans="1:2" s="204" customFormat="1">
      <c r="A39" s="206"/>
      <c r="B39" s="207"/>
    </row>
    <row r="40" spans="1:2" s="204" customFormat="1">
      <c r="A40" s="206"/>
      <c r="B40" s="207"/>
    </row>
    <row r="41" spans="1:2" s="204" customFormat="1">
      <c r="A41" s="206"/>
      <c r="B41" s="207"/>
    </row>
    <row r="42" spans="1:2" s="204" customFormat="1">
      <c r="A42" s="206"/>
      <c r="B42" s="207"/>
    </row>
  </sheetData>
  <mergeCells count="1">
    <mergeCell ref="C1:E1"/>
  </mergeCells>
  <hyperlinks>
    <hyperlink ref="C1" location="'Advanced METT questions+scores'!A1" display="Back to 'Advanced METT questions and scores'" xr:uid="{00000000-0004-0000-1B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Check Box 1">
              <controlPr defaultSize="0" autoFill="0" autoLine="0" autoPict="0">
                <anchor moveWithCells="1">
                  <from>
                    <xdr:col>2</xdr:col>
                    <xdr:colOff>628650</xdr:colOff>
                    <xdr:row>6</xdr:row>
                    <xdr:rowOff>68580</xdr:rowOff>
                  </from>
                  <to>
                    <xdr:col>3</xdr:col>
                    <xdr:colOff>30480</xdr:colOff>
                    <xdr:row>6</xdr:row>
                    <xdr:rowOff>495300</xdr:rowOff>
                  </to>
                </anchor>
              </controlPr>
            </control>
          </mc:Choice>
        </mc:AlternateContent>
        <mc:AlternateContent xmlns:mc="http://schemas.openxmlformats.org/markup-compatibility/2006">
          <mc:Choice Requires="x14">
            <control shapeId="34818" r:id="rId4" name="Check Box 2">
              <controlPr defaultSize="0" autoFill="0" autoLine="0" autoPict="0">
                <anchor moveWithCells="1">
                  <from>
                    <xdr:col>2</xdr:col>
                    <xdr:colOff>609600</xdr:colOff>
                    <xdr:row>7</xdr:row>
                    <xdr:rowOff>163830</xdr:rowOff>
                  </from>
                  <to>
                    <xdr:col>3</xdr:col>
                    <xdr:colOff>11430</xdr:colOff>
                    <xdr:row>7</xdr:row>
                    <xdr:rowOff>514350</xdr:rowOff>
                  </to>
                </anchor>
              </controlPr>
            </control>
          </mc:Choice>
        </mc:AlternateContent>
        <mc:AlternateContent xmlns:mc="http://schemas.openxmlformats.org/markup-compatibility/2006">
          <mc:Choice Requires="x14">
            <control shapeId="34819" r:id="rId5" name="Check Box 3">
              <controlPr defaultSize="0" autoFill="0" autoLine="0" autoPict="0">
                <anchor moveWithCells="1">
                  <from>
                    <xdr:col>2</xdr:col>
                    <xdr:colOff>621030</xdr:colOff>
                    <xdr:row>8</xdr:row>
                    <xdr:rowOff>152400</xdr:rowOff>
                  </from>
                  <to>
                    <xdr:col>3</xdr:col>
                    <xdr:colOff>19050</xdr:colOff>
                    <xdr:row>8</xdr:row>
                    <xdr:rowOff>659130</xdr:rowOff>
                  </to>
                </anchor>
              </controlPr>
            </control>
          </mc:Choice>
        </mc:AlternateContent>
        <mc:AlternateContent xmlns:mc="http://schemas.openxmlformats.org/markup-compatibility/2006">
          <mc:Choice Requires="x14">
            <control shapeId="34821" r:id="rId6" name="Check Box 5">
              <controlPr locked="0" defaultSize="0" autoFill="0" autoLine="0" autoPict="0">
                <anchor moveWithCells="1">
                  <from>
                    <xdr:col>1</xdr:col>
                    <xdr:colOff>2640330</xdr:colOff>
                    <xdr:row>1</xdr:row>
                    <xdr:rowOff>49530</xdr:rowOff>
                  </from>
                  <to>
                    <xdr:col>1</xdr:col>
                    <xdr:colOff>2971800</xdr:colOff>
                    <xdr:row>2</xdr:row>
                    <xdr:rowOff>0</xdr:rowOff>
                  </to>
                </anchor>
              </controlPr>
            </control>
          </mc:Choice>
        </mc:AlternateContent>
        <mc:AlternateContent xmlns:mc="http://schemas.openxmlformats.org/markup-compatibility/2006">
          <mc:Choice Requires="x14">
            <control shapeId="34822" r:id="rId7" name="Check Box 6">
              <controlPr defaultSize="0" autoFill="0" autoLine="0" autoPict="0">
                <anchor moveWithCells="1">
                  <from>
                    <xdr:col>0</xdr:col>
                    <xdr:colOff>0</xdr:colOff>
                    <xdr:row>19</xdr:row>
                    <xdr:rowOff>190500</xdr:rowOff>
                  </from>
                  <to>
                    <xdr:col>0</xdr:col>
                    <xdr:colOff>963930</xdr:colOff>
                    <xdr:row>21</xdr:row>
                    <xdr:rowOff>0</xdr:rowOff>
                  </to>
                </anchor>
              </controlPr>
            </control>
          </mc:Choice>
        </mc:AlternateContent>
        <mc:AlternateContent xmlns:mc="http://schemas.openxmlformats.org/markup-compatibility/2006">
          <mc:Choice Requires="x14">
            <control shapeId="34823" r:id="rId8" name="Check Box 7">
              <controlPr defaultSize="0" autoFill="0" autoLine="0" autoPict="0">
                <anchor moveWithCells="1">
                  <from>
                    <xdr:col>0</xdr:col>
                    <xdr:colOff>0</xdr:colOff>
                    <xdr:row>20</xdr:row>
                    <xdr:rowOff>182880</xdr:rowOff>
                  </from>
                  <to>
                    <xdr:col>0</xdr:col>
                    <xdr:colOff>906780</xdr:colOff>
                    <xdr:row>22</xdr:row>
                    <xdr:rowOff>0</xdr:rowOff>
                  </to>
                </anchor>
              </controlPr>
            </control>
          </mc:Choice>
        </mc:AlternateContent>
        <mc:AlternateContent xmlns:mc="http://schemas.openxmlformats.org/markup-compatibility/2006">
          <mc:Choice Requires="x14">
            <control shapeId="34824" r:id="rId9" name="Check Box 8">
              <controlPr defaultSize="0" autoFill="0" autoLine="0" autoPict="0">
                <anchor moveWithCells="1">
                  <from>
                    <xdr:col>0</xdr:col>
                    <xdr:colOff>0</xdr:colOff>
                    <xdr:row>22</xdr:row>
                    <xdr:rowOff>0</xdr:rowOff>
                  </from>
                  <to>
                    <xdr:col>1</xdr:col>
                    <xdr:colOff>392430</xdr:colOff>
                    <xdr:row>23</xdr:row>
                    <xdr:rowOff>0</xdr:rowOff>
                  </to>
                </anchor>
              </controlPr>
            </control>
          </mc:Choice>
        </mc:AlternateContent>
        <mc:AlternateContent xmlns:mc="http://schemas.openxmlformats.org/markup-compatibility/2006">
          <mc:Choice Requires="x14">
            <control shapeId="34825" r:id="rId10" name="Check Box 9">
              <controlPr defaultSize="0" autoFill="0" autoLine="0" autoPict="0">
                <anchor moveWithCells="1">
                  <from>
                    <xdr:col>0</xdr:col>
                    <xdr:colOff>0</xdr:colOff>
                    <xdr:row>23</xdr:row>
                    <xdr:rowOff>11430</xdr:rowOff>
                  </from>
                  <to>
                    <xdr:col>0</xdr:col>
                    <xdr:colOff>800100</xdr:colOff>
                    <xdr:row>24</xdr:row>
                    <xdr:rowOff>19050</xdr:rowOff>
                  </to>
                </anchor>
              </controlPr>
            </control>
          </mc:Choice>
        </mc:AlternateContent>
        <mc:AlternateContent xmlns:mc="http://schemas.openxmlformats.org/markup-compatibility/2006">
          <mc:Choice Requires="x14">
            <control shapeId="34826" r:id="rId11" name="Check Box 10">
              <controlPr defaultSize="0" autoFill="0" autoLine="0" autoPict="0">
                <anchor moveWithCells="1">
                  <from>
                    <xdr:col>0</xdr:col>
                    <xdr:colOff>0</xdr:colOff>
                    <xdr:row>24</xdr:row>
                    <xdr:rowOff>11430</xdr:rowOff>
                  </from>
                  <to>
                    <xdr:col>0</xdr:col>
                    <xdr:colOff>800100</xdr:colOff>
                    <xdr:row>25</xdr:row>
                    <xdr:rowOff>19050</xdr:rowOff>
                  </to>
                </anchor>
              </controlPr>
            </control>
          </mc:Choice>
        </mc:AlternateContent>
        <mc:AlternateContent xmlns:mc="http://schemas.openxmlformats.org/markup-compatibility/2006">
          <mc:Choice Requires="x14">
            <control shapeId="34827" r:id="rId12" name="Check Box 11">
              <controlPr defaultSize="0" autoFill="0" autoLine="0" autoPict="0">
                <anchor moveWithCells="1">
                  <from>
                    <xdr:col>0</xdr:col>
                    <xdr:colOff>0</xdr:colOff>
                    <xdr:row>24</xdr:row>
                    <xdr:rowOff>201930</xdr:rowOff>
                  </from>
                  <to>
                    <xdr:col>0</xdr:col>
                    <xdr:colOff>1097280</xdr:colOff>
                    <xdr:row>26</xdr:row>
                    <xdr:rowOff>19050</xdr:rowOff>
                  </to>
                </anchor>
              </controlPr>
            </control>
          </mc:Choice>
        </mc:AlternateContent>
        <mc:AlternateContent xmlns:mc="http://schemas.openxmlformats.org/markup-compatibility/2006">
          <mc:Choice Requires="x14">
            <control shapeId="34828" r:id="rId13" name="Check Box 12">
              <controlPr defaultSize="0" autoFill="0" autoLine="0" autoPict="0">
                <anchor moveWithCells="1">
                  <from>
                    <xdr:col>0</xdr:col>
                    <xdr:colOff>0</xdr:colOff>
                    <xdr:row>26</xdr:row>
                    <xdr:rowOff>0</xdr:rowOff>
                  </from>
                  <to>
                    <xdr:col>0</xdr:col>
                    <xdr:colOff>1123950</xdr:colOff>
                    <xdr:row>27</xdr:row>
                    <xdr:rowOff>11430</xdr:rowOff>
                  </to>
                </anchor>
              </controlPr>
            </control>
          </mc:Choice>
        </mc:AlternateContent>
        <mc:AlternateContent xmlns:mc="http://schemas.openxmlformats.org/markup-compatibility/2006">
          <mc:Choice Requires="x14">
            <control shapeId="34829" r:id="rId14" name="Check Box 13">
              <controlPr defaultSize="0" autoFill="0" autoLine="0" autoPict="0">
                <anchor moveWithCells="1">
                  <from>
                    <xdr:col>0</xdr:col>
                    <xdr:colOff>0</xdr:colOff>
                    <xdr:row>27</xdr:row>
                    <xdr:rowOff>0</xdr:rowOff>
                  </from>
                  <to>
                    <xdr:col>0</xdr:col>
                    <xdr:colOff>857250</xdr:colOff>
                    <xdr:row>28</xdr:row>
                    <xdr:rowOff>11430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E45"/>
  <sheetViews>
    <sheetView showGridLines="0" workbookViewId="0">
      <selection activeCell="D9" sqref="D9"/>
    </sheetView>
  </sheetViews>
  <sheetFormatPr defaultColWidth="16.59765625" defaultRowHeight="15.6"/>
  <cols>
    <col min="1" max="1" width="16.59765625" style="204"/>
    <col min="2" max="2" width="106.84765625" style="1" customWidth="1"/>
    <col min="3" max="3" width="17.59765625" style="1" customWidth="1"/>
    <col min="4" max="4" width="22.34765625" style="1" customWidth="1"/>
    <col min="5" max="16384" width="16.59765625" style="1"/>
  </cols>
  <sheetData>
    <row r="1" spans="1:5" s="118" customFormat="1" ht="52.15" customHeight="1">
      <c r="A1" s="202"/>
      <c r="B1" s="118" t="s">
        <v>539</v>
      </c>
      <c r="C1" s="252" t="s">
        <v>173</v>
      </c>
      <c r="D1" s="252"/>
      <c r="E1" s="252"/>
    </row>
    <row r="2" spans="1:5">
      <c r="B2" s="148" t="s">
        <v>293</v>
      </c>
    </row>
    <row r="3" spans="1:5">
      <c r="B3" s="82"/>
    </row>
    <row r="4" spans="1:5" s="70" customFormat="1" ht="42" customHeight="1">
      <c r="A4" s="203"/>
      <c r="B4" s="84" t="s">
        <v>24</v>
      </c>
      <c r="C4" s="84"/>
      <c r="D4" s="84"/>
    </row>
    <row r="5" spans="1:5">
      <c r="B5" s="82"/>
    </row>
    <row r="6" spans="1:5" ht="54.4" customHeight="1">
      <c r="B6" s="81" t="s">
        <v>324</v>
      </c>
      <c r="C6" s="86"/>
      <c r="D6" s="86"/>
    </row>
    <row r="7" spans="1:5">
      <c r="B7" s="82"/>
    </row>
    <row r="8" spans="1:5" s="3" customFormat="1" ht="47.1" customHeight="1">
      <c r="B8" s="83" t="s">
        <v>198</v>
      </c>
      <c r="C8" s="83" t="s">
        <v>296</v>
      </c>
      <c r="D8" s="79" t="s">
        <v>212</v>
      </c>
    </row>
    <row r="9" spans="1:5" s="70" customFormat="1" ht="32.25" customHeight="1">
      <c r="A9" s="203"/>
      <c r="B9" s="120" t="s">
        <v>540</v>
      </c>
      <c r="C9" s="212">
        <v>0</v>
      </c>
      <c r="D9" s="212"/>
    </row>
    <row r="10" spans="1:5" s="70" customFormat="1" ht="33" customHeight="1">
      <c r="A10" s="203"/>
      <c r="B10" s="24" t="s">
        <v>541</v>
      </c>
      <c r="C10" s="214">
        <v>1</v>
      </c>
      <c r="D10" s="215"/>
    </row>
    <row r="11" spans="1:5" s="70" customFormat="1" ht="37.5" customHeight="1">
      <c r="A11" s="203"/>
      <c r="B11" s="120" t="s">
        <v>542</v>
      </c>
      <c r="C11" s="212">
        <v>2</v>
      </c>
      <c r="D11" s="215"/>
    </row>
    <row r="12" spans="1:5" s="70" customFormat="1" ht="45.75" customHeight="1">
      <c r="A12" s="203"/>
      <c r="B12" s="24" t="s">
        <v>543</v>
      </c>
      <c r="C12" s="214">
        <v>3</v>
      </c>
      <c r="D12" s="215"/>
    </row>
    <row r="13" spans="1:5">
      <c r="D13" s="73"/>
    </row>
    <row r="14" spans="1:5" ht="16" customHeight="1">
      <c r="B14" s="82" t="s">
        <v>283</v>
      </c>
      <c r="C14" s="82"/>
    </row>
    <row r="15" spans="1:5">
      <c r="B15" s="82"/>
      <c r="C15" s="82"/>
    </row>
    <row r="16" spans="1:5" ht="63" customHeight="1">
      <c r="B16" s="90" t="s">
        <v>197</v>
      </c>
      <c r="C16" s="84"/>
      <c r="D16" s="84"/>
    </row>
    <row r="18" spans="1:4" ht="16" customHeight="1">
      <c r="B18" s="82" t="s">
        <v>53</v>
      </c>
      <c r="C18" s="82"/>
      <c r="D18" s="82"/>
    </row>
    <row r="19" spans="1:4">
      <c r="B19" s="82"/>
    </row>
    <row r="20" spans="1:4" ht="64" customHeight="1">
      <c r="B20" s="90" t="s">
        <v>197</v>
      </c>
      <c r="C20" s="84"/>
      <c r="D20" s="84"/>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1C00-000000000000}"/>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3729" r:id="rId3" name="Check Box 1">
              <controlPr locked="0" defaultSize="0" autoFill="0" autoLine="0" autoPict="0">
                <anchor moveWithCells="1">
                  <from>
                    <xdr:col>1</xdr:col>
                    <xdr:colOff>2640330</xdr:colOff>
                    <xdr:row>1</xdr:row>
                    <xdr:rowOff>19050</xdr:rowOff>
                  </from>
                  <to>
                    <xdr:col>1</xdr:col>
                    <xdr:colOff>2945130</xdr:colOff>
                    <xdr:row>2</xdr:row>
                    <xdr:rowOff>38100</xdr:rowOff>
                  </to>
                </anchor>
              </controlPr>
            </control>
          </mc:Choice>
        </mc:AlternateContent>
        <mc:AlternateContent xmlns:mc="http://schemas.openxmlformats.org/markup-compatibility/2006">
          <mc:Choice Requires="x14">
            <control shapeId="73730"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73731"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73732"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73733"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73734"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73735"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73736"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73737"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E45"/>
  <sheetViews>
    <sheetView showGridLines="0" workbookViewId="0">
      <selection activeCell="D9" sqref="D9"/>
    </sheetView>
  </sheetViews>
  <sheetFormatPr defaultColWidth="16.59765625" defaultRowHeight="15.6"/>
  <cols>
    <col min="1" max="1" width="16.59765625" style="204"/>
    <col min="2" max="2" width="106.84765625" style="1" customWidth="1"/>
    <col min="3" max="3" width="17.59765625" style="1" customWidth="1"/>
    <col min="4" max="4" width="22.84765625" style="1" customWidth="1"/>
    <col min="5" max="16384" width="16.59765625" style="1"/>
  </cols>
  <sheetData>
    <row r="1" spans="1:5" s="118" customFormat="1" ht="31.9" customHeight="1">
      <c r="A1" s="202"/>
      <c r="B1" s="118" t="s">
        <v>544</v>
      </c>
      <c r="C1" s="252" t="s">
        <v>173</v>
      </c>
      <c r="D1" s="252"/>
      <c r="E1" s="252"/>
    </row>
    <row r="2" spans="1:5">
      <c r="B2" s="148" t="s">
        <v>293</v>
      </c>
    </row>
    <row r="3" spans="1:5">
      <c r="B3" s="82"/>
    </row>
    <row r="4" spans="1:5" s="70" customFormat="1" ht="45" customHeight="1">
      <c r="A4" s="203"/>
      <c r="B4" s="84" t="s">
        <v>611</v>
      </c>
      <c r="C4" s="84"/>
      <c r="D4" s="84"/>
    </row>
    <row r="5" spans="1:5">
      <c r="B5" s="82"/>
    </row>
    <row r="6" spans="1:5" ht="72.75" customHeight="1">
      <c r="B6" s="81" t="s">
        <v>325</v>
      </c>
      <c r="C6" s="86"/>
      <c r="D6" s="86"/>
    </row>
    <row r="7" spans="1:5">
      <c r="B7" s="82"/>
    </row>
    <row r="8" spans="1:5" s="3" customFormat="1" ht="39" customHeight="1">
      <c r="B8" s="83" t="s">
        <v>198</v>
      </c>
      <c r="C8" s="83" t="s">
        <v>296</v>
      </c>
      <c r="D8" s="79" t="s">
        <v>212</v>
      </c>
    </row>
    <row r="9" spans="1:5" s="70" customFormat="1" ht="37.5" customHeight="1">
      <c r="A9" s="203"/>
      <c r="B9" s="120" t="s">
        <v>545</v>
      </c>
      <c r="C9" s="212">
        <v>0</v>
      </c>
      <c r="D9" s="212"/>
    </row>
    <row r="10" spans="1:5" s="70" customFormat="1" ht="36" customHeight="1">
      <c r="A10" s="203"/>
      <c r="B10" s="24" t="s">
        <v>546</v>
      </c>
      <c r="C10" s="214">
        <v>1</v>
      </c>
      <c r="D10" s="215"/>
    </row>
    <row r="11" spans="1:5" s="70" customFormat="1" ht="45.75" customHeight="1">
      <c r="A11" s="203"/>
      <c r="B11" s="120" t="s">
        <v>547</v>
      </c>
      <c r="C11" s="212">
        <v>2</v>
      </c>
      <c r="D11" s="215"/>
    </row>
    <row r="12" spans="1:5" s="70" customFormat="1" ht="36" customHeight="1">
      <c r="A12" s="203"/>
      <c r="B12" s="24" t="s">
        <v>548</v>
      </c>
      <c r="C12" s="214">
        <v>3</v>
      </c>
      <c r="D12" s="215"/>
    </row>
    <row r="13" spans="1:5">
      <c r="D13" s="73"/>
    </row>
    <row r="14" spans="1:5" ht="16" customHeight="1">
      <c r="B14" s="82" t="s">
        <v>283</v>
      </c>
      <c r="C14" s="82"/>
    </row>
    <row r="15" spans="1:5">
      <c r="B15" s="82"/>
      <c r="C15" s="82"/>
    </row>
    <row r="16" spans="1:5" ht="63" customHeight="1">
      <c r="B16" s="90" t="s">
        <v>197</v>
      </c>
      <c r="C16" s="84"/>
      <c r="D16" s="84"/>
    </row>
    <row r="18" spans="1:4" ht="16" customHeight="1">
      <c r="B18" s="82" t="s">
        <v>53</v>
      </c>
      <c r="C18" s="82"/>
      <c r="D18" s="82"/>
    </row>
    <row r="19" spans="1:4">
      <c r="B19" s="82"/>
    </row>
    <row r="20" spans="1:4" ht="64" customHeight="1">
      <c r="B20" s="90" t="s">
        <v>197</v>
      </c>
      <c r="C20" s="84"/>
      <c r="D20" s="84"/>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1D00-000000000000}"/>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4753" r:id="rId3" name="Check Box 1">
              <controlPr locked="0" defaultSize="0" autoFill="0" autoLine="0" autoPict="0">
                <anchor moveWithCells="1">
                  <from>
                    <xdr:col>1</xdr:col>
                    <xdr:colOff>2564130</xdr:colOff>
                    <xdr:row>1</xdr:row>
                    <xdr:rowOff>11430</xdr:rowOff>
                  </from>
                  <to>
                    <xdr:col>1</xdr:col>
                    <xdr:colOff>2868930</xdr:colOff>
                    <xdr:row>2</xdr:row>
                    <xdr:rowOff>30480</xdr:rowOff>
                  </to>
                </anchor>
              </controlPr>
            </control>
          </mc:Choice>
        </mc:AlternateContent>
        <mc:AlternateContent xmlns:mc="http://schemas.openxmlformats.org/markup-compatibility/2006">
          <mc:Choice Requires="x14">
            <control shapeId="74754"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74755"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74756"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74757"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74758"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74759"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74760"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74761"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1:E45"/>
  <sheetViews>
    <sheetView showGridLines="0" workbookViewId="0">
      <selection activeCell="D9" sqref="D9"/>
    </sheetView>
  </sheetViews>
  <sheetFormatPr defaultColWidth="16.59765625" defaultRowHeight="15.6"/>
  <cols>
    <col min="1" max="1" width="16.59765625" style="204"/>
    <col min="2" max="2" width="106.84765625" style="1" customWidth="1"/>
    <col min="3" max="3" width="19.84765625" style="1" customWidth="1"/>
    <col min="4" max="4" width="21" style="1" customWidth="1"/>
    <col min="5" max="16384" width="16.59765625" style="1"/>
  </cols>
  <sheetData>
    <row r="1" spans="1:5" s="118" customFormat="1" ht="30" customHeight="1">
      <c r="A1" s="202"/>
      <c r="B1" s="118" t="s">
        <v>549</v>
      </c>
      <c r="C1" s="252" t="s">
        <v>173</v>
      </c>
      <c r="D1" s="252"/>
      <c r="E1" s="252"/>
    </row>
    <row r="2" spans="1:5">
      <c r="B2" s="148" t="s">
        <v>293</v>
      </c>
    </row>
    <row r="3" spans="1:5">
      <c r="B3" s="82"/>
    </row>
    <row r="4" spans="1:5" s="70" customFormat="1" ht="55.5" customHeight="1">
      <c r="A4" s="203"/>
      <c r="B4" s="84" t="s">
        <v>26</v>
      </c>
      <c r="C4" s="84"/>
      <c r="D4" s="84"/>
    </row>
    <row r="5" spans="1:5">
      <c r="B5" s="82"/>
    </row>
    <row r="6" spans="1:5" ht="39.6" customHeight="1">
      <c r="B6" s="81" t="s">
        <v>550</v>
      </c>
      <c r="C6" s="86"/>
      <c r="D6" s="86"/>
    </row>
    <row r="7" spans="1:5">
      <c r="B7" s="82"/>
    </row>
    <row r="8" spans="1:5" s="3" customFormat="1" ht="38.65" customHeight="1">
      <c r="B8" s="83" t="s">
        <v>198</v>
      </c>
      <c r="C8" s="83" t="s">
        <v>296</v>
      </c>
      <c r="D8" s="79" t="s">
        <v>212</v>
      </c>
    </row>
    <row r="9" spans="1:5" s="70" customFormat="1" ht="37.5" customHeight="1">
      <c r="A9" s="203"/>
      <c r="B9" s="120" t="s">
        <v>551</v>
      </c>
      <c r="C9" s="212">
        <v>0</v>
      </c>
      <c r="D9" s="212"/>
    </row>
    <row r="10" spans="1:5" s="70" customFormat="1" ht="33.75" customHeight="1">
      <c r="A10" s="203"/>
      <c r="B10" s="24" t="s">
        <v>552</v>
      </c>
      <c r="C10" s="214">
        <v>1</v>
      </c>
      <c r="D10" s="215"/>
    </row>
    <row r="11" spans="1:5" s="70" customFormat="1" ht="34.5" customHeight="1">
      <c r="A11" s="203"/>
      <c r="B11" s="120" t="s">
        <v>553</v>
      </c>
      <c r="C11" s="212">
        <v>2</v>
      </c>
      <c r="D11" s="215"/>
    </row>
    <row r="12" spans="1:5" s="70" customFormat="1" ht="35.25" customHeight="1">
      <c r="A12" s="203"/>
      <c r="B12" s="24" t="s">
        <v>554</v>
      </c>
      <c r="C12" s="214">
        <v>3</v>
      </c>
      <c r="D12" s="215"/>
    </row>
    <row r="13" spans="1:5">
      <c r="B13" s="6"/>
      <c r="D13" s="73"/>
    </row>
    <row r="14" spans="1:5" ht="16" customHeight="1">
      <c r="B14" s="83" t="s">
        <v>283</v>
      </c>
      <c r="C14" s="82"/>
      <c r="D14" s="73"/>
    </row>
    <row r="15" spans="1:5">
      <c r="B15" s="82"/>
      <c r="C15" s="82"/>
    </row>
    <row r="16" spans="1:5" ht="63" customHeight="1">
      <c r="B16" s="90" t="s">
        <v>197</v>
      </c>
      <c r="C16" s="84"/>
      <c r="D16" s="84"/>
    </row>
    <row r="18" spans="1:4" ht="16" customHeight="1">
      <c r="B18" s="82" t="s">
        <v>53</v>
      </c>
      <c r="C18" s="82"/>
      <c r="D18" s="82"/>
    </row>
    <row r="19" spans="1:4">
      <c r="B19" s="82"/>
    </row>
    <row r="20" spans="1:4" ht="64" customHeight="1">
      <c r="B20" s="90" t="s">
        <v>197</v>
      </c>
      <c r="C20" s="84"/>
      <c r="D20" s="84"/>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1E00-000000000000}"/>
  </hyperlinks>
  <pageMargins left="0.7" right="0.7" top="0.75" bottom="0.75" header="0.3" footer="0.3"/>
  <pageSetup paperSize="9" scale="8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5777" r:id="rId3" name="Check Box 1">
              <controlPr locked="0" defaultSize="0" autoFill="0" autoLine="0" autoPict="0">
                <anchor moveWithCells="1">
                  <from>
                    <xdr:col>1</xdr:col>
                    <xdr:colOff>2678430</xdr:colOff>
                    <xdr:row>0</xdr:row>
                    <xdr:rowOff>373380</xdr:rowOff>
                  </from>
                  <to>
                    <xdr:col>1</xdr:col>
                    <xdr:colOff>2983230</xdr:colOff>
                    <xdr:row>2</xdr:row>
                    <xdr:rowOff>11430</xdr:rowOff>
                  </to>
                </anchor>
              </controlPr>
            </control>
          </mc:Choice>
        </mc:AlternateContent>
        <mc:AlternateContent xmlns:mc="http://schemas.openxmlformats.org/markup-compatibility/2006">
          <mc:Choice Requires="x14">
            <control shapeId="75778"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75779"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75780"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75781"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75782"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75783"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75784"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75785"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dimension ref="A1:E42"/>
  <sheetViews>
    <sheetView showGridLines="0" workbookViewId="0">
      <selection activeCell="D7" sqref="D7"/>
    </sheetView>
  </sheetViews>
  <sheetFormatPr defaultColWidth="16.59765625" defaultRowHeight="15.6"/>
  <cols>
    <col min="2" max="2" width="106.84765625" customWidth="1"/>
    <col min="3" max="4" width="17.59765625" customWidth="1"/>
    <col min="5" max="5" width="16" customWidth="1"/>
  </cols>
  <sheetData>
    <row r="1" spans="1:5" s="85" customFormat="1" ht="51" customHeight="1">
      <c r="B1" s="118" t="s">
        <v>612</v>
      </c>
      <c r="C1" s="255" t="s">
        <v>173</v>
      </c>
      <c r="D1" s="255"/>
      <c r="E1" s="255"/>
    </row>
    <row r="2" spans="1:5" s="1" customFormat="1">
      <c r="A2" s="204"/>
      <c r="B2" s="148" t="s">
        <v>293</v>
      </c>
    </row>
    <row r="3" spans="1:5" s="1" customFormat="1">
      <c r="A3" s="204"/>
      <c r="B3" s="82"/>
    </row>
    <row r="4" spans="1:5" s="1" customFormat="1" ht="112" customHeight="1">
      <c r="A4" s="204"/>
      <c r="B4" s="81" t="s">
        <v>326</v>
      </c>
      <c r="C4" s="86"/>
      <c r="D4" s="86"/>
    </row>
    <row r="5" spans="1:5" s="1" customFormat="1">
      <c r="A5" s="204"/>
      <c r="B5" s="6"/>
    </row>
    <row r="6" spans="1:5" s="1" customFormat="1" ht="31.2">
      <c r="A6" s="204"/>
      <c r="B6" s="5" t="s">
        <v>33</v>
      </c>
      <c r="C6" s="78" t="s">
        <v>199</v>
      </c>
      <c r="D6" s="72" t="s">
        <v>216</v>
      </c>
    </row>
    <row r="7" spans="1:5" s="70" customFormat="1" ht="45.75" customHeight="1">
      <c r="A7" s="203"/>
      <c r="B7" s="120" t="s">
        <v>555</v>
      </c>
      <c r="C7" s="143"/>
      <c r="D7" s="212"/>
    </row>
    <row r="8" spans="1:5" s="70" customFormat="1" ht="53.1" customHeight="1">
      <c r="A8" s="203"/>
      <c r="B8" s="24" t="s">
        <v>556</v>
      </c>
      <c r="C8" s="125"/>
      <c r="D8" s="121"/>
    </row>
    <row r="9" spans="1:5" s="70" customFormat="1" ht="45" customHeight="1">
      <c r="A9" s="203"/>
      <c r="B9" s="120" t="s">
        <v>557</v>
      </c>
      <c r="C9" s="143"/>
      <c r="D9" s="121"/>
    </row>
    <row r="10" spans="1:5" s="1" customFormat="1">
      <c r="A10" s="204"/>
      <c r="D10" s="73"/>
    </row>
    <row r="11" spans="1:5" s="1" customFormat="1" ht="16" customHeight="1">
      <c r="A11" s="204"/>
      <c r="B11" s="82" t="s">
        <v>284</v>
      </c>
      <c r="C11" s="82"/>
    </row>
    <row r="12" spans="1:5" s="1" customFormat="1">
      <c r="A12" s="204"/>
      <c r="B12" s="82"/>
      <c r="C12" s="82"/>
    </row>
    <row r="13" spans="1:5" s="1" customFormat="1" ht="63" customHeight="1">
      <c r="A13" s="204"/>
      <c r="B13" s="90" t="s">
        <v>197</v>
      </c>
      <c r="C13" s="84"/>
      <c r="D13" s="84"/>
    </row>
    <row r="14" spans="1:5" s="1" customFormat="1">
      <c r="A14" s="204"/>
    </row>
    <row r="15" spans="1:5" s="1" customFormat="1" ht="16" customHeight="1">
      <c r="A15" s="204"/>
      <c r="B15" s="82" t="s">
        <v>200</v>
      </c>
      <c r="C15" s="82"/>
      <c r="D15" s="82"/>
    </row>
    <row r="16" spans="1:5" s="1" customFormat="1">
      <c r="A16" s="204"/>
      <c r="B16" s="82"/>
    </row>
    <row r="17" spans="1:4" s="1" customFormat="1" ht="64" customHeight="1">
      <c r="A17" s="204"/>
      <c r="B17" s="90" t="s">
        <v>197</v>
      </c>
      <c r="C17" s="84"/>
      <c r="D17" s="84"/>
    </row>
    <row r="18" spans="1:4" s="1" customFormat="1">
      <c r="A18" s="204"/>
      <c r="B18" s="71"/>
      <c r="C18" s="84"/>
      <c r="D18" s="84"/>
    </row>
    <row r="19" spans="1:4" s="204" customFormat="1" ht="30.75" customHeight="1">
      <c r="B19" s="205" t="s">
        <v>647</v>
      </c>
      <c r="C19" s="205"/>
    </row>
    <row r="20" spans="1:4" s="204" customFormat="1">
      <c r="B20" s="205"/>
      <c r="C20" s="205"/>
    </row>
    <row r="21" spans="1:4" s="204" customFormat="1">
      <c r="B21" s="80"/>
    </row>
    <row r="22" spans="1:4" s="204" customFormat="1">
      <c r="B22" s="12"/>
    </row>
    <row r="23" spans="1:4" s="204" customFormat="1" ht="16" customHeight="1">
      <c r="B23" s="80"/>
    </row>
    <row r="24" spans="1:4" s="204" customFormat="1" ht="16" customHeight="1">
      <c r="B24" s="12"/>
    </row>
    <row r="25" spans="1:4" s="204" customFormat="1">
      <c r="B25" s="80"/>
    </row>
    <row r="26" spans="1:4" s="204" customFormat="1">
      <c r="B26" s="12"/>
    </row>
    <row r="27" spans="1:4" s="204" customFormat="1">
      <c r="B27" s="80"/>
    </row>
    <row r="28" spans="1:4" s="204" customFormat="1">
      <c r="B28" s="12"/>
    </row>
    <row r="29" spans="1:4" s="204" customFormat="1">
      <c r="A29" s="206"/>
      <c r="B29" s="207"/>
    </row>
    <row r="30" spans="1:4" s="204" customFormat="1">
      <c r="A30" s="206"/>
      <c r="B30" s="207"/>
    </row>
    <row r="31" spans="1:4" s="204" customFormat="1">
      <c r="A31" s="206"/>
      <c r="B31" s="206"/>
    </row>
    <row r="32" spans="1:4" s="204" customFormat="1"/>
    <row r="33" spans="1:2" s="204" customFormat="1"/>
    <row r="34" spans="1:2" s="204" customFormat="1"/>
    <row r="35" spans="1:2" s="204" customFormat="1"/>
    <row r="36" spans="1:2" s="204" customFormat="1"/>
    <row r="37" spans="1:2" s="204" customFormat="1"/>
    <row r="38" spans="1:2" s="204" customFormat="1">
      <c r="A38" s="206"/>
      <c r="B38" s="207"/>
    </row>
    <row r="39" spans="1:2" s="204" customFormat="1">
      <c r="A39" s="206"/>
      <c r="B39" s="207"/>
    </row>
    <row r="40" spans="1:2" s="204" customFormat="1">
      <c r="A40" s="206"/>
      <c r="B40" s="207"/>
    </row>
    <row r="41" spans="1:2" s="204" customFormat="1">
      <c r="A41" s="206"/>
      <c r="B41" s="207"/>
    </row>
    <row r="42" spans="1:2" s="204" customFormat="1">
      <c r="A42" s="206"/>
      <c r="B42" s="207"/>
    </row>
  </sheetData>
  <mergeCells count="1">
    <mergeCell ref="C1:E1"/>
  </mergeCells>
  <hyperlinks>
    <hyperlink ref="C1" location="'Advanced METT questions+scores'!A1" display="Back to 'Advanced METT questions and scores'" xr:uid="{00000000-0004-0000-1F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Check Box 1">
              <controlPr defaultSize="0" autoFill="0" autoLine="0" autoPict="0">
                <anchor moveWithCells="1">
                  <from>
                    <xdr:col>2</xdr:col>
                    <xdr:colOff>621030</xdr:colOff>
                    <xdr:row>6</xdr:row>
                    <xdr:rowOff>335280</xdr:rowOff>
                  </from>
                  <to>
                    <xdr:col>3</xdr:col>
                    <xdr:colOff>19050</xdr:colOff>
                    <xdr:row>6</xdr:row>
                    <xdr:rowOff>552450</xdr:rowOff>
                  </to>
                </anchor>
              </controlPr>
            </control>
          </mc:Choice>
        </mc:AlternateContent>
        <mc:AlternateContent xmlns:mc="http://schemas.openxmlformats.org/markup-compatibility/2006">
          <mc:Choice Requires="x14">
            <control shapeId="37890" r:id="rId4" name="Check Box 2">
              <controlPr defaultSize="0" autoFill="0" autoLine="0" autoPict="0">
                <anchor moveWithCells="1">
                  <from>
                    <xdr:col>2</xdr:col>
                    <xdr:colOff>621030</xdr:colOff>
                    <xdr:row>7</xdr:row>
                    <xdr:rowOff>335280</xdr:rowOff>
                  </from>
                  <to>
                    <xdr:col>3</xdr:col>
                    <xdr:colOff>19050</xdr:colOff>
                    <xdr:row>7</xdr:row>
                    <xdr:rowOff>552450</xdr:rowOff>
                  </to>
                </anchor>
              </controlPr>
            </control>
          </mc:Choice>
        </mc:AlternateContent>
        <mc:AlternateContent xmlns:mc="http://schemas.openxmlformats.org/markup-compatibility/2006">
          <mc:Choice Requires="x14">
            <control shapeId="37891" r:id="rId5" name="Check Box 3">
              <controlPr defaultSize="0" autoFill="0" autoLine="0" autoPict="0">
                <anchor moveWithCells="1">
                  <from>
                    <xdr:col>2</xdr:col>
                    <xdr:colOff>621030</xdr:colOff>
                    <xdr:row>8</xdr:row>
                    <xdr:rowOff>335280</xdr:rowOff>
                  </from>
                  <to>
                    <xdr:col>3</xdr:col>
                    <xdr:colOff>19050</xdr:colOff>
                    <xdr:row>8</xdr:row>
                    <xdr:rowOff>552450</xdr:rowOff>
                  </to>
                </anchor>
              </controlPr>
            </control>
          </mc:Choice>
        </mc:AlternateContent>
        <mc:AlternateContent xmlns:mc="http://schemas.openxmlformats.org/markup-compatibility/2006">
          <mc:Choice Requires="x14">
            <control shapeId="37892" r:id="rId6" name="Check Box 4">
              <controlPr locked="0" defaultSize="0" autoFill="0" autoLine="0" autoPict="0">
                <anchor moveWithCells="1">
                  <from>
                    <xdr:col>1</xdr:col>
                    <xdr:colOff>2686050</xdr:colOff>
                    <xdr:row>1</xdr:row>
                    <xdr:rowOff>19050</xdr:rowOff>
                  </from>
                  <to>
                    <xdr:col>1</xdr:col>
                    <xdr:colOff>2990850</xdr:colOff>
                    <xdr:row>2</xdr:row>
                    <xdr:rowOff>38100</xdr:rowOff>
                  </to>
                </anchor>
              </controlPr>
            </control>
          </mc:Choice>
        </mc:AlternateContent>
        <mc:AlternateContent xmlns:mc="http://schemas.openxmlformats.org/markup-compatibility/2006">
          <mc:Choice Requires="x14">
            <control shapeId="37893" r:id="rId7" name="Check Box 5">
              <controlPr defaultSize="0" autoFill="0" autoLine="0" autoPict="0">
                <anchor moveWithCells="1">
                  <from>
                    <xdr:col>0</xdr:col>
                    <xdr:colOff>0</xdr:colOff>
                    <xdr:row>19</xdr:row>
                    <xdr:rowOff>190500</xdr:rowOff>
                  </from>
                  <to>
                    <xdr:col>0</xdr:col>
                    <xdr:colOff>963930</xdr:colOff>
                    <xdr:row>21</xdr:row>
                    <xdr:rowOff>0</xdr:rowOff>
                  </to>
                </anchor>
              </controlPr>
            </control>
          </mc:Choice>
        </mc:AlternateContent>
        <mc:AlternateContent xmlns:mc="http://schemas.openxmlformats.org/markup-compatibility/2006">
          <mc:Choice Requires="x14">
            <control shapeId="37894" r:id="rId8" name="Check Box 6">
              <controlPr defaultSize="0" autoFill="0" autoLine="0" autoPict="0">
                <anchor moveWithCells="1">
                  <from>
                    <xdr:col>0</xdr:col>
                    <xdr:colOff>0</xdr:colOff>
                    <xdr:row>20</xdr:row>
                    <xdr:rowOff>182880</xdr:rowOff>
                  </from>
                  <to>
                    <xdr:col>0</xdr:col>
                    <xdr:colOff>906780</xdr:colOff>
                    <xdr:row>22</xdr:row>
                    <xdr:rowOff>0</xdr:rowOff>
                  </to>
                </anchor>
              </controlPr>
            </control>
          </mc:Choice>
        </mc:AlternateContent>
        <mc:AlternateContent xmlns:mc="http://schemas.openxmlformats.org/markup-compatibility/2006">
          <mc:Choice Requires="x14">
            <control shapeId="37895" r:id="rId9" name="Check Box 7">
              <controlPr defaultSize="0" autoFill="0" autoLine="0" autoPict="0">
                <anchor moveWithCells="1">
                  <from>
                    <xdr:col>0</xdr:col>
                    <xdr:colOff>0</xdr:colOff>
                    <xdr:row>22</xdr:row>
                    <xdr:rowOff>0</xdr:rowOff>
                  </from>
                  <to>
                    <xdr:col>1</xdr:col>
                    <xdr:colOff>392430</xdr:colOff>
                    <xdr:row>23</xdr:row>
                    <xdr:rowOff>0</xdr:rowOff>
                  </to>
                </anchor>
              </controlPr>
            </control>
          </mc:Choice>
        </mc:AlternateContent>
        <mc:AlternateContent xmlns:mc="http://schemas.openxmlformats.org/markup-compatibility/2006">
          <mc:Choice Requires="x14">
            <control shapeId="37896" r:id="rId10" name="Check Box 8">
              <controlPr defaultSize="0" autoFill="0" autoLine="0" autoPict="0">
                <anchor moveWithCells="1">
                  <from>
                    <xdr:col>0</xdr:col>
                    <xdr:colOff>0</xdr:colOff>
                    <xdr:row>23</xdr:row>
                    <xdr:rowOff>11430</xdr:rowOff>
                  </from>
                  <to>
                    <xdr:col>0</xdr:col>
                    <xdr:colOff>800100</xdr:colOff>
                    <xdr:row>24</xdr:row>
                    <xdr:rowOff>19050</xdr:rowOff>
                  </to>
                </anchor>
              </controlPr>
            </control>
          </mc:Choice>
        </mc:AlternateContent>
        <mc:AlternateContent xmlns:mc="http://schemas.openxmlformats.org/markup-compatibility/2006">
          <mc:Choice Requires="x14">
            <control shapeId="37897" r:id="rId11" name="Check Box 9">
              <controlPr defaultSize="0" autoFill="0" autoLine="0" autoPict="0">
                <anchor moveWithCells="1">
                  <from>
                    <xdr:col>0</xdr:col>
                    <xdr:colOff>0</xdr:colOff>
                    <xdr:row>24</xdr:row>
                    <xdr:rowOff>11430</xdr:rowOff>
                  </from>
                  <to>
                    <xdr:col>0</xdr:col>
                    <xdr:colOff>800100</xdr:colOff>
                    <xdr:row>25</xdr:row>
                    <xdr:rowOff>19050</xdr:rowOff>
                  </to>
                </anchor>
              </controlPr>
            </control>
          </mc:Choice>
        </mc:AlternateContent>
        <mc:AlternateContent xmlns:mc="http://schemas.openxmlformats.org/markup-compatibility/2006">
          <mc:Choice Requires="x14">
            <control shapeId="37898" r:id="rId12" name="Check Box 10">
              <controlPr defaultSize="0" autoFill="0" autoLine="0" autoPict="0">
                <anchor moveWithCells="1">
                  <from>
                    <xdr:col>0</xdr:col>
                    <xdr:colOff>0</xdr:colOff>
                    <xdr:row>24</xdr:row>
                    <xdr:rowOff>201930</xdr:rowOff>
                  </from>
                  <to>
                    <xdr:col>0</xdr:col>
                    <xdr:colOff>1097280</xdr:colOff>
                    <xdr:row>26</xdr:row>
                    <xdr:rowOff>19050</xdr:rowOff>
                  </to>
                </anchor>
              </controlPr>
            </control>
          </mc:Choice>
        </mc:AlternateContent>
        <mc:AlternateContent xmlns:mc="http://schemas.openxmlformats.org/markup-compatibility/2006">
          <mc:Choice Requires="x14">
            <control shapeId="37899" r:id="rId13" name="Check Box 11">
              <controlPr defaultSize="0" autoFill="0" autoLine="0" autoPict="0">
                <anchor moveWithCells="1">
                  <from>
                    <xdr:col>0</xdr:col>
                    <xdr:colOff>0</xdr:colOff>
                    <xdr:row>26</xdr:row>
                    <xdr:rowOff>0</xdr:rowOff>
                  </from>
                  <to>
                    <xdr:col>0</xdr:col>
                    <xdr:colOff>1123950</xdr:colOff>
                    <xdr:row>27</xdr:row>
                    <xdr:rowOff>11430</xdr:rowOff>
                  </to>
                </anchor>
              </controlPr>
            </control>
          </mc:Choice>
        </mc:AlternateContent>
        <mc:AlternateContent xmlns:mc="http://schemas.openxmlformats.org/markup-compatibility/2006">
          <mc:Choice Requires="x14">
            <control shapeId="37900" r:id="rId14" name="Check Box 12">
              <controlPr defaultSize="0" autoFill="0" autoLine="0" autoPict="0">
                <anchor moveWithCells="1">
                  <from>
                    <xdr:col>0</xdr:col>
                    <xdr:colOff>0</xdr:colOff>
                    <xdr:row>27</xdr:row>
                    <xdr:rowOff>0</xdr:rowOff>
                  </from>
                  <to>
                    <xdr:col>0</xdr:col>
                    <xdr:colOff>857250</xdr:colOff>
                    <xdr:row>28</xdr:row>
                    <xdr:rowOff>11430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E46"/>
  <sheetViews>
    <sheetView showGridLines="0" workbookViewId="0">
      <selection activeCell="D10" sqref="D10"/>
    </sheetView>
  </sheetViews>
  <sheetFormatPr defaultColWidth="16.59765625" defaultRowHeight="15.6"/>
  <cols>
    <col min="1" max="1" width="16.59765625" style="204"/>
    <col min="2" max="2" width="106.84765625" style="1" customWidth="1"/>
    <col min="3" max="3" width="17.59765625" style="1" customWidth="1"/>
    <col min="4" max="4" width="21.34765625" style="1" customWidth="1"/>
    <col min="5" max="16384" width="16.59765625" style="1"/>
  </cols>
  <sheetData>
    <row r="1" spans="1:5" s="85" customFormat="1" ht="34" customHeight="1">
      <c r="B1" s="118" t="s">
        <v>558</v>
      </c>
      <c r="C1" s="253" t="s">
        <v>173</v>
      </c>
      <c r="D1" s="253"/>
      <c r="E1" s="253"/>
    </row>
    <row r="2" spans="1:5">
      <c r="B2" s="148" t="s">
        <v>293</v>
      </c>
    </row>
    <row r="3" spans="1:5">
      <c r="B3" s="82"/>
    </row>
    <row r="4" spans="1:5" ht="71.099999999999994" customHeight="1">
      <c r="B4" s="126" t="s">
        <v>27</v>
      </c>
      <c r="C4" s="82"/>
      <c r="D4" s="82"/>
    </row>
    <row r="5" spans="1:5">
      <c r="B5" s="82"/>
    </row>
    <row r="6" spans="1:5" ht="84" customHeight="1">
      <c r="B6" s="81" t="s">
        <v>327</v>
      </c>
      <c r="C6" s="86"/>
      <c r="D6" s="86"/>
    </row>
    <row r="7" spans="1:5" ht="15.75" customHeight="1">
      <c r="B7" s="82"/>
    </row>
    <row r="8" spans="1:5">
      <c r="B8" s="82"/>
    </row>
    <row r="9" spans="1:5" s="3" customFormat="1" ht="39.6" customHeight="1">
      <c r="B9" s="83" t="s">
        <v>198</v>
      </c>
      <c r="C9" s="83" t="s">
        <v>296</v>
      </c>
      <c r="D9" s="79" t="s">
        <v>212</v>
      </c>
    </row>
    <row r="10" spans="1:5" s="70" customFormat="1" ht="37" customHeight="1">
      <c r="A10" s="203"/>
      <c r="B10" s="120" t="s">
        <v>559</v>
      </c>
      <c r="C10" s="212">
        <v>0</v>
      </c>
      <c r="D10" s="213"/>
    </row>
    <row r="11" spans="1:5" s="70" customFormat="1" ht="34.5" customHeight="1">
      <c r="A11" s="203"/>
      <c r="B11" s="24" t="s">
        <v>613</v>
      </c>
      <c r="C11" s="214">
        <v>1</v>
      </c>
      <c r="D11" s="215"/>
    </row>
    <row r="12" spans="1:5" s="70" customFormat="1" ht="36.6" customHeight="1">
      <c r="A12" s="203"/>
      <c r="B12" s="24" t="s">
        <v>614</v>
      </c>
      <c r="C12" s="214">
        <v>2</v>
      </c>
      <c r="D12" s="215"/>
    </row>
    <row r="13" spans="1:5" s="70" customFormat="1" ht="47.25" customHeight="1">
      <c r="A13" s="203"/>
      <c r="B13" s="120" t="s">
        <v>615</v>
      </c>
      <c r="C13" s="212">
        <v>3</v>
      </c>
      <c r="D13" s="215"/>
    </row>
    <row r="14" spans="1:5">
      <c r="D14" s="73"/>
    </row>
    <row r="15" spans="1:5" ht="16" customHeight="1">
      <c r="B15" s="82" t="s">
        <v>283</v>
      </c>
      <c r="C15" s="82"/>
    </row>
    <row r="16" spans="1:5">
      <c r="B16" s="82"/>
      <c r="C16" s="82"/>
    </row>
    <row r="17" spans="2:4" ht="63" customHeight="1">
      <c r="B17" s="90" t="s">
        <v>197</v>
      </c>
      <c r="C17" s="84"/>
      <c r="D17" s="84"/>
    </row>
    <row r="19" spans="2:4" ht="16" customHeight="1">
      <c r="B19" s="82" t="s">
        <v>53</v>
      </c>
      <c r="C19" s="82"/>
      <c r="D19" s="82"/>
    </row>
    <row r="20" spans="2:4">
      <c r="B20" s="82"/>
    </row>
    <row r="21" spans="2:4" ht="64" customHeight="1">
      <c r="B21" s="90" t="s">
        <v>197</v>
      </c>
      <c r="C21" s="84"/>
      <c r="D21" s="84"/>
    </row>
    <row r="22" spans="2:4">
      <c r="B22" s="71"/>
      <c r="C22" s="84"/>
      <c r="D22" s="84"/>
    </row>
    <row r="23" spans="2:4" s="204" customFormat="1" ht="30.75" customHeight="1">
      <c r="B23" s="205" t="s">
        <v>647</v>
      </c>
      <c r="C23" s="205"/>
    </row>
    <row r="24" spans="2:4" s="204" customFormat="1">
      <c r="B24" s="205"/>
      <c r="C24" s="205"/>
    </row>
    <row r="25" spans="2:4" s="204" customFormat="1">
      <c r="B25" s="80"/>
    </row>
    <row r="26" spans="2:4" s="204" customFormat="1">
      <c r="B26" s="12"/>
    </row>
    <row r="27" spans="2:4" s="204" customFormat="1" ht="16" customHeight="1">
      <c r="B27" s="80"/>
    </row>
    <row r="28" spans="2:4" s="204" customFormat="1" ht="16" customHeight="1">
      <c r="B28" s="12"/>
    </row>
    <row r="29" spans="2:4" s="204" customFormat="1">
      <c r="B29" s="80"/>
    </row>
    <row r="30" spans="2:4" s="204" customFormat="1">
      <c r="B30" s="12"/>
    </row>
    <row r="31" spans="2:4" s="204" customFormat="1">
      <c r="B31" s="80"/>
    </row>
    <row r="32" spans="2:4" s="204" customFormat="1">
      <c r="B32" s="12"/>
    </row>
    <row r="33" spans="1:2" s="204" customFormat="1">
      <c r="A33" s="206"/>
      <c r="B33" s="207"/>
    </row>
    <row r="34" spans="1:2" s="204" customFormat="1">
      <c r="A34" s="206"/>
      <c r="B34" s="207"/>
    </row>
    <row r="35" spans="1:2" s="204" customFormat="1">
      <c r="A35" s="206"/>
      <c r="B35" s="206"/>
    </row>
    <row r="36" spans="1:2" s="204" customFormat="1"/>
    <row r="37" spans="1:2" s="204" customFormat="1"/>
    <row r="38" spans="1:2" s="204" customFormat="1"/>
    <row r="39" spans="1:2" s="204" customFormat="1"/>
    <row r="40" spans="1:2" s="204" customFormat="1"/>
    <row r="41" spans="1:2" s="204" customFormat="1"/>
    <row r="42" spans="1:2" s="204" customFormat="1">
      <c r="A42" s="206"/>
      <c r="B42" s="207"/>
    </row>
    <row r="43" spans="1:2" s="204" customFormat="1">
      <c r="A43" s="206"/>
      <c r="B43" s="207"/>
    </row>
    <row r="44" spans="1:2" s="204" customFormat="1">
      <c r="A44" s="206"/>
      <c r="B44" s="207"/>
    </row>
    <row r="45" spans="1:2" s="204" customFormat="1">
      <c r="A45" s="206"/>
      <c r="B45" s="207"/>
    </row>
    <row r="46" spans="1:2" s="204" customFormat="1">
      <c r="A46" s="206"/>
      <c r="B46" s="207"/>
    </row>
  </sheetData>
  <mergeCells count="1">
    <mergeCell ref="C1:E1"/>
  </mergeCells>
  <phoneticPr fontId="17" type="noConversion"/>
  <hyperlinks>
    <hyperlink ref="C1" location="'Advanced METT questions+scores'!A1" display="Back to 'Advanced METT questions and scores'" xr:uid="{00000000-0004-0000-2000-000000000000}"/>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Check Box 1">
              <controlPr locked="0" defaultSize="0" autoFill="0" autoLine="0" autoPict="0">
                <anchor moveWithCells="1">
                  <from>
                    <xdr:col>1</xdr:col>
                    <xdr:colOff>2583180</xdr:colOff>
                    <xdr:row>1</xdr:row>
                    <xdr:rowOff>11430</xdr:rowOff>
                  </from>
                  <to>
                    <xdr:col>1</xdr:col>
                    <xdr:colOff>2887980</xdr:colOff>
                    <xdr:row>2</xdr:row>
                    <xdr:rowOff>30480</xdr:rowOff>
                  </to>
                </anchor>
              </controlPr>
            </control>
          </mc:Choice>
        </mc:AlternateContent>
        <mc:AlternateContent xmlns:mc="http://schemas.openxmlformats.org/markup-compatibility/2006">
          <mc:Choice Requires="x14">
            <control shapeId="76802" r:id="rId5" name="Check Box 2">
              <controlPr defaultSize="0" autoFill="0" autoLine="0" autoPict="0">
                <anchor moveWithCells="1">
                  <from>
                    <xdr:col>0</xdr:col>
                    <xdr:colOff>0</xdr:colOff>
                    <xdr:row>23</xdr:row>
                    <xdr:rowOff>190500</xdr:rowOff>
                  </from>
                  <to>
                    <xdr:col>0</xdr:col>
                    <xdr:colOff>963930</xdr:colOff>
                    <xdr:row>25</xdr:row>
                    <xdr:rowOff>0</xdr:rowOff>
                  </to>
                </anchor>
              </controlPr>
            </control>
          </mc:Choice>
        </mc:AlternateContent>
        <mc:AlternateContent xmlns:mc="http://schemas.openxmlformats.org/markup-compatibility/2006">
          <mc:Choice Requires="x14">
            <control shapeId="76803" r:id="rId6" name="Check Box 3">
              <controlPr defaultSize="0" autoFill="0" autoLine="0" autoPict="0">
                <anchor moveWithCells="1">
                  <from>
                    <xdr:col>0</xdr:col>
                    <xdr:colOff>0</xdr:colOff>
                    <xdr:row>24</xdr:row>
                    <xdr:rowOff>182880</xdr:rowOff>
                  </from>
                  <to>
                    <xdr:col>0</xdr:col>
                    <xdr:colOff>906780</xdr:colOff>
                    <xdr:row>26</xdr:row>
                    <xdr:rowOff>0</xdr:rowOff>
                  </to>
                </anchor>
              </controlPr>
            </control>
          </mc:Choice>
        </mc:AlternateContent>
        <mc:AlternateContent xmlns:mc="http://schemas.openxmlformats.org/markup-compatibility/2006">
          <mc:Choice Requires="x14">
            <control shapeId="76804" r:id="rId7" name="Check Box 4">
              <controlPr defaultSize="0" autoFill="0" autoLine="0" autoPict="0">
                <anchor moveWithCells="1">
                  <from>
                    <xdr:col>0</xdr:col>
                    <xdr:colOff>0</xdr:colOff>
                    <xdr:row>26</xdr:row>
                    <xdr:rowOff>0</xdr:rowOff>
                  </from>
                  <to>
                    <xdr:col>1</xdr:col>
                    <xdr:colOff>392430</xdr:colOff>
                    <xdr:row>27</xdr:row>
                    <xdr:rowOff>0</xdr:rowOff>
                  </to>
                </anchor>
              </controlPr>
            </control>
          </mc:Choice>
        </mc:AlternateContent>
        <mc:AlternateContent xmlns:mc="http://schemas.openxmlformats.org/markup-compatibility/2006">
          <mc:Choice Requires="x14">
            <control shapeId="76805" r:id="rId8" name="Check Box 5">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76806" r:id="rId9" name="Check Box 6">
              <controlPr defaultSize="0" autoFill="0" autoLine="0" autoPict="0">
                <anchor moveWithCells="1">
                  <from>
                    <xdr:col>0</xdr:col>
                    <xdr:colOff>0</xdr:colOff>
                    <xdr:row>28</xdr:row>
                    <xdr:rowOff>11430</xdr:rowOff>
                  </from>
                  <to>
                    <xdr:col>0</xdr:col>
                    <xdr:colOff>800100</xdr:colOff>
                    <xdr:row>29</xdr:row>
                    <xdr:rowOff>19050</xdr:rowOff>
                  </to>
                </anchor>
              </controlPr>
            </control>
          </mc:Choice>
        </mc:AlternateContent>
        <mc:AlternateContent xmlns:mc="http://schemas.openxmlformats.org/markup-compatibility/2006">
          <mc:Choice Requires="x14">
            <control shapeId="76807" r:id="rId10" name="Check Box 7">
              <controlPr defaultSize="0" autoFill="0" autoLine="0" autoPict="0">
                <anchor moveWithCells="1">
                  <from>
                    <xdr:col>0</xdr:col>
                    <xdr:colOff>0</xdr:colOff>
                    <xdr:row>28</xdr:row>
                    <xdr:rowOff>201930</xdr:rowOff>
                  </from>
                  <to>
                    <xdr:col>0</xdr:col>
                    <xdr:colOff>1097280</xdr:colOff>
                    <xdr:row>30</xdr:row>
                    <xdr:rowOff>19050</xdr:rowOff>
                  </to>
                </anchor>
              </controlPr>
            </control>
          </mc:Choice>
        </mc:AlternateContent>
        <mc:AlternateContent xmlns:mc="http://schemas.openxmlformats.org/markup-compatibility/2006">
          <mc:Choice Requires="x14">
            <control shapeId="76808" r:id="rId11" name="Check Box 8">
              <controlPr defaultSize="0" autoFill="0" autoLine="0" autoPict="0">
                <anchor moveWithCells="1">
                  <from>
                    <xdr:col>0</xdr:col>
                    <xdr:colOff>0</xdr:colOff>
                    <xdr:row>30</xdr:row>
                    <xdr:rowOff>0</xdr:rowOff>
                  </from>
                  <to>
                    <xdr:col>0</xdr:col>
                    <xdr:colOff>1123950</xdr:colOff>
                    <xdr:row>31</xdr:row>
                    <xdr:rowOff>11430</xdr:rowOff>
                  </to>
                </anchor>
              </controlPr>
            </control>
          </mc:Choice>
        </mc:AlternateContent>
        <mc:AlternateContent xmlns:mc="http://schemas.openxmlformats.org/markup-compatibility/2006">
          <mc:Choice Requires="x14">
            <control shapeId="76809" r:id="rId12" name="Check Box 9">
              <controlPr defaultSize="0" autoFill="0" autoLine="0" autoPict="0">
                <anchor moveWithCells="1">
                  <from>
                    <xdr:col>0</xdr:col>
                    <xdr:colOff>0</xdr:colOff>
                    <xdr:row>31</xdr:row>
                    <xdr:rowOff>0</xdr:rowOff>
                  </from>
                  <to>
                    <xdr:col>0</xdr:col>
                    <xdr:colOff>857250</xdr:colOff>
                    <xdr:row>32</xdr:row>
                    <xdr:rowOff>11430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dimension ref="A1:E45"/>
  <sheetViews>
    <sheetView showGridLines="0" workbookViewId="0">
      <selection activeCell="D9" sqref="D9"/>
    </sheetView>
  </sheetViews>
  <sheetFormatPr defaultColWidth="16.59765625" defaultRowHeight="15.6"/>
  <cols>
    <col min="1" max="1" width="16.59765625" style="204"/>
    <col min="2" max="2" width="106.84765625" style="1" customWidth="1"/>
    <col min="3" max="3" width="17.59765625" style="1" customWidth="1"/>
    <col min="4" max="4" width="21.59765625" style="1" customWidth="1"/>
    <col min="5" max="16384" width="16.59765625" style="1"/>
  </cols>
  <sheetData>
    <row r="1" spans="1:5" s="118" customFormat="1" ht="30.6" customHeight="1">
      <c r="A1" s="202"/>
      <c r="B1" s="118" t="s">
        <v>560</v>
      </c>
      <c r="C1" s="252" t="s">
        <v>173</v>
      </c>
      <c r="D1" s="252"/>
      <c r="E1" s="252"/>
    </row>
    <row r="2" spans="1:5">
      <c r="B2" s="148" t="s">
        <v>293</v>
      </c>
    </row>
    <row r="3" spans="1:5">
      <c r="B3" s="82"/>
    </row>
    <row r="4" spans="1:5" s="70" customFormat="1" ht="35.5" customHeight="1">
      <c r="A4" s="203"/>
      <c r="B4" s="83" t="s">
        <v>328</v>
      </c>
      <c r="C4" s="84"/>
      <c r="D4" s="84"/>
    </row>
    <row r="5" spans="1:5">
      <c r="B5" s="82"/>
    </row>
    <row r="6" spans="1:5" ht="67.150000000000006" customHeight="1">
      <c r="B6" s="81" t="s">
        <v>561</v>
      </c>
      <c r="C6" s="86"/>
      <c r="D6" s="86"/>
    </row>
    <row r="7" spans="1:5">
      <c r="B7" s="82"/>
    </row>
    <row r="8" spans="1:5" s="3" customFormat="1" ht="40.5" customHeight="1">
      <c r="B8" s="83" t="s">
        <v>198</v>
      </c>
      <c r="C8" s="83" t="s">
        <v>296</v>
      </c>
      <c r="D8" s="79" t="s">
        <v>212</v>
      </c>
    </row>
    <row r="9" spans="1:5" s="70" customFormat="1" ht="38.1" customHeight="1">
      <c r="A9" s="203"/>
      <c r="B9" s="120" t="s">
        <v>562</v>
      </c>
      <c r="C9" s="212">
        <v>0</v>
      </c>
      <c r="D9" s="212"/>
    </row>
    <row r="10" spans="1:5" s="70" customFormat="1" ht="33" customHeight="1">
      <c r="A10" s="203"/>
      <c r="B10" s="24" t="s">
        <v>563</v>
      </c>
      <c r="C10" s="214">
        <v>1</v>
      </c>
      <c r="D10" s="215"/>
    </row>
    <row r="11" spans="1:5" s="70" customFormat="1" ht="35.25" customHeight="1">
      <c r="A11" s="203"/>
      <c r="B11" s="120" t="s">
        <v>564</v>
      </c>
      <c r="C11" s="212">
        <v>2</v>
      </c>
      <c r="D11" s="215"/>
    </row>
    <row r="12" spans="1:5" s="70" customFormat="1" ht="37.5" customHeight="1">
      <c r="A12" s="203"/>
      <c r="B12" s="24" t="s">
        <v>565</v>
      </c>
      <c r="C12" s="214">
        <v>3</v>
      </c>
      <c r="D12" s="215"/>
    </row>
    <row r="13" spans="1:5">
      <c r="D13" s="73"/>
    </row>
    <row r="14" spans="1:5" ht="16" customHeight="1">
      <c r="B14" s="82" t="s">
        <v>283</v>
      </c>
      <c r="C14" s="82"/>
    </row>
    <row r="15" spans="1:5">
      <c r="B15" s="82"/>
      <c r="C15" s="82"/>
    </row>
    <row r="16" spans="1:5" ht="63" customHeight="1">
      <c r="B16" s="90" t="s">
        <v>197</v>
      </c>
      <c r="C16" s="84"/>
      <c r="D16" s="84"/>
    </row>
    <row r="18" spans="1:4" ht="16" customHeight="1">
      <c r="B18" s="82" t="s">
        <v>53</v>
      </c>
      <c r="C18" s="82"/>
      <c r="D18" s="82"/>
    </row>
    <row r="19" spans="1:4">
      <c r="B19" s="82"/>
    </row>
    <row r="20" spans="1:4" ht="64" customHeight="1">
      <c r="B20" s="90" t="s">
        <v>197</v>
      </c>
      <c r="C20" s="84"/>
      <c r="D20" s="84"/>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2100-000000000000}"/>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7825" r:id="rId3" name="Check Box 1">
              <controlPr locked="0" defaultSize="0" autoFill="0" autoLine="0" autoPict="0">
                <anchor moveWithCells="1">
                  <from>
                    <xdr:col>1</xdr:col>
                    <xdr:colOff>2533650</xdr:colOff>
                    <xdr:row>0</xdr:row>
                    <xdr:rowOff>373380</xdr:rowOff>
                  </from>
                  <to>
                    <xdr:col>1</xdr:col>
                    <xdr:colOff>2868930</xdr:colOff>
                    <xdr:row>2</xdr:row>
                    <xdr:rowOff>11430</xdr:rowOff>
                  </to>
                </anchor>
              </controlPr>
            </control>
          </mc:Choice>
        </mc:AlternateContent>
        <mc:AlternateContent xmlns:mc="http://schemas.openxmlformats.org/markup-compatibility/2006">
          <mc:Choice Requires="x14">
            <control shapeId="77826"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77827"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77828"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77829"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77830"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77831"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77832"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77833"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5"/>
  <dimension ref="A1:E45"/>
  <sheetViews>
    <sheetView showGridLines="0" zoomScaleNormal="100" workbookViewId="0">
      <selection activeCell="D9" sqref="D9"/>
    </sheetView>
  </sheetViews>
  <sheetFormatPr defaultColWidth="16.59765625" defaultRowHeight="15.6"/>
  <cols>
    <col min="1" max="1" width="16.59765625" style="204"/>
    <col min="2" max="2" width="106.84765625" style="1" customWidth="1"/>
    <col min="3" max="3" width="17.59765625" style="1" customWidth="1"/>
    <col min="4" max="4" width="22.34765625" style="1" customWidth="1"/>
    <col min="5" max="16384" width="16.59765625" style="1"/>
  </cols>
  <sheetData>
    <row r="1" spans="1:5" s="118" customFormat="1" ht="33.6" customHeight="1">
      <c r="A1" s="202"/>
      <c r="B1" s="193" t="s">
        <v>616</v>
      </c>
      <c r="C1" s="252" t="s">
        <v>173</v>
      </c>
      <c r="D1" s="252"/>
      <c r="E1" s="252"/>
    </row>
    <row r="2" spans="1:5">
      <c r="B2" s="148" t="s">
        <v>293</v>
      </c>
    </row>
    <row r="3" spans="1:5">
      <c r="B3" s="82"/>
    </row>
    <row r="4" spans="1:5" s="70" customFormat="1" ht="34" customHeight="1">
      <c r="A4" s="203"/>
      <c r="B4" s="84" t="s">
        <v>617</v>
      </c>
      <c r="C4" s="84"/>
      <c r="D4" s="84"/>
    </row>
    <row r="5" spans="1:5">
      <c r="B5" s="82"/>
    </row>
    <row r="6" spans="1:5" ht="74.099999999999994" customHeight="1">
      <c r="B6" s="81" t="s">
        <v>329</v>
      </c>
      <c r="C6" s="86"/>
      <c r="D6" s="86"/>
    </row>
    <row r="7" spans="1:5" ht="16" customHeight="1">
      <c r="B7" s="82"/>
    </row>
    <row r="8" spans="1:5" s="3" customFormat="1" ht="37.5" customHeight="1">
      <c r="B8" s="83" t="s">
        <v>198</v>
      </c>
      <c r="C8" s="83" t="s">
        <v>296</v>
      </c>
      <c r="D8" s="79" t="s">
        <v>212</v>
      </c>
    </row>
    <row r="9" spans="1:5" s="70" customFormat="1" ht="36.4" customHeight="1">
      <c r="A9" s="203"/>
      <c r="B9" s="120" t="s">
        <v>566</v>
      </c>
      <c r="C9" s="212">
        <v>0</v>
      </c>
      <c r="D9" s="212"/>
    </row>
    <row r="10" spans="1:5" s="70" customFormat="1" ht="36.4" customHeight="1">
      <c r="A10" s="203"/>
      <c r="B10" s="24" t="s">
        <v>567</v>
      </c>
      <c r="C10" s="214">
        <v>1</v>
      </c>
      <c r="D10" s="215"/>
    </row>
    <row r="11" spans="1:5" s="70" customFormat="1" ht="39.75" customHeight="1">
      <c r="A11" s="203"/>
      <c r="B11" s="120" t="s">
        <v>568</v>
      </c>
      <c r="C11" s="212">
        <v>2</v>
      </c>
      <c r="D11" s="215"/>
    </row>
    <row r="12" spans="1:5" s="70" customFormat="1" ht="36.75" customHeight="1">
      <c r="A12" s="203"/>
      <c r="B12" s="24" t="s">
        <v>569</v>
      </c>
      <c r="C12" s="214">
        <v>3</v>
      </c>
      <c r="D12" s="215"/>
    </row>
    <row r="13" spans="1:5" ht="16" customHeight="1">
      <c r="D13" s="73"/>
    </row>
    <row r="14" spans="1:5" ht="16" customHeight="1">
      <c r="B14" s="82" t="s">
        <v>283</v>
      </c>
      <c r="C14" s="82"/>
    </row>
    <row r="15" spans="1:5">
      <c r="B15" s="82"/>
      <c r="C15" s="82"/>
    </row>
    <row r="16" spans="1:5" ht="63" customHeight="1">
      <c r="B16" s="90" t="s">
        <v>197</v>
      </c>
      <c r="C16" s="84"/>
      <c r="D16" s="84"/>
    </row>
    <row r="18" spans="1:4" ht="16" customHeight="1">
      <c r="B18" s="82" t="s">
        <v>53</v>
      </c>
      <c r="C18" s="82"/>
      <c r="D18" s="82"/>
    </row>
    <row r="19" spans="1:4">
      <c r="B19" s="82"/>
    </row>
    <row r="20" spans="1:4" ht="64" customHeight="1">
      <c r="B20" s="90" t="s">
        <v>197</v>
      </c>
      <c r="C20" s="84"/>
      <c r="D20" s="84"/>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2300-000000000000}"/>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8849" r:id="rId3" name="Check Box 1">
              <controlPr locked="0" defaultSize="0" autoFill="0" autoLine="0" autoPict="0">
                <anchor moveWithCells="1">
                  <from>
                    <xdr:col>1</xdr:col>
                    <xdr:colOff>2602230</xdr:colOff>
                    <xdr:row>1</xdr:row>
                    <xdr:rowOff>0</xdr:rowOff>
                  </from>
                  <to>
                    <xdr:col>1</xdr:col>
                    <xdr:colOff>2907030</xdr:colOff>
                    <xdr:row>2</xdr:row>
                    <xdr:rowOff>19050</xdr:rowOff>
                  </to>
                </anchor>
              </controlPr>
            </control>
          </mc:Choice>
        </mc:AlternateContent>
        <mc:AlternateContent xmlns:mc="http://schemas.openxmlformats.org/markup-compatibility/2006">
          <mc:Choice Requires="x14">
            <control shapeId="78850"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78851"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78852"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78853"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78854"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78855"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78856"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78857"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dimension ref="A1:E45"/>
  <sheetViews>
    <sheetView showGridLines="0" workbookViewId="0">
      <selection activeCell="D9" sqref="D9"/>
    </sheetView>
  </sheetViews>
  <sheetFormatPr defaultColWidth="16.59765625" defaultRowHeight="15.6"/>
  <cols>
    <col min="1" max="1" width="16.59765625" style="204"/>
    <col min="2" max="2" width="106.84765625" style="1" customWidth="1"/>
    <col min="3" max="3" width="17.59765625" style="1" customWidth="1"/>
    <col min="4" max="4" width="24.09765625" style="1" customWidth="1"/>
    <col min="5" max="16384" width="16.59765625" style="1"/>
  </cols>
  <sheetData>
    <row r="1" spans="1:5" s="118" customFormat="1" ht="27.6" customHeight="1">
      <c r="A1" s="202"/>
      <c r="B1" s="118" t="s">
        <v>570</v>
      </c>
      <c r="C1" s="252" t="s">
        <v>173</v>
      </c>
      <c r="D1" s="252"/>
      <c r="E1" s="252"/>
    </row>
    <row r="2" spans="1:5">
      <c r="B2" s="148" t="s">
        <v>293</v>
      </c>
    </row>
    <row r="3" spans="1:5">
      <c r="B3" s="82"/>
    </row>
    <row r="4" spans="1:5" s="70" customFormat="1" ht="41.5" customHeight="1">
      <c r="A4" s="203"/>
      <c r="B4" s="84" t="s">
        <v>30</v>
      </c>
      <c r="C4" s="84"/>
      <c r="D4" s="84"/>
    </row>
    <row r="5" spans="1:5">
      <c r="B5" s="82"/>
    </row>
    <row r="6" spans="1:5" ht="96" customHeight="1">
      <c r="B6" s="81" t="s">
        <v>330</v>
      </c>
      <c r="C6" s="86"/>
      <c r="D6" s="86"/>
    </row>
    <row r="7" spans="1:5" ht="16" customHeight="1">
      <c r="B7" s="82"/>
    </row>
    <row r="8" spans="1:5" s="3" customFormat="1" ht="38.1" customHeight="1">
      <c r="B8" s="83" t="s">
        <v>198</v>
      </c>
      <c r="C8" s="83" t="s">
        <v>296</v>
      </c>
      <c r="D8" s="79" t="s">
        <v>212</v>
      </c>
    </row>
    <row r="9" spans="1:5" s="70" customFormat="1" ht="34.5" customHeight="1">
      <c r="A9" s="203"/>
      <c r="B9" s="120" t="s">
        <v>571</v>
      </c>
      <c r="C9" s="212">
        <v>0</v>
      </c>
      <c r="D9" s="212"/>
    </row>
    <row r="10" spans="1:5" s="70" customFormat="1" ht="39.75" customHeight="1">
      <c r="A10" s="203"/>
      <c r="B10" s="24" t="s">
        <v>572</v>
      </c>
      <c r="C10" s="214">
        <v>1</v>
      </c>
      <c r="D10" s="215"/>
    </row>
    <row r="11" spans="1:5" s="70" customFormat="1" ht="48" customHeight="1">
      <c r="A11" s="203"/>
      <c r="B11" s="120" t="s">
        <v>573</v>
      </c>
      <c r="C11" s="212">
        <v>2</v>
      </c>
      <c r="D11" s="215"/>
    </row>
    <row r="12" spans="1:5" s="70" customFormat="1" ht="45.75" customHeight="1">
      <c r="A12" s="203"/>
      <c r="B12" s="24" t="s">
        <v>574</v>
      </c>
      <c r="C12" s="214">
        <v>3</v>
      </c>
      <c r="D12" s="215"/>
    </row>
    <row r="13" spans="1:5" ht="16" customHeight="1">
      <c r="D13" s="73"/>
    </row>
    <row r="14" spans="1:5" ht="16" customHeight="1">
      <c r="B14" s="82" t="s">
        <v>283</v>
      </c>
      <c r="C14" s="82"/>
    </row>
    <row r="15" spans="1:5">
      <c r="B15" s="82"/>
      <c r="C15" s="82"/>
    </row>
    <row r="16" spans="1:5" ht="62.1" customHeight="1">
      <c r="B16" s="90" t="s">
        <v>197</v>
      </c>
      <c r="C16" s="84"/>
      <c r="D16" s="84"/>
    </row>
    <row r="18" spans="1:4" ht="16" customHeight="1">
      <c r="B18" s="82" t="s">
        <v>53</v>
      </c>
      <c r="C18" s="82"/>
      <c r="D18" s="82"/>
    </row>
    <row r="19" spans="1:4">
      <c r="B19" s="82"/>
    </row>
    <row r="20" spans="1:4" ht="64" customHeight="1">
      <c r="B20" s="90" t="s">
        <v>197</v>
      </c>
      <c r="C20" s="84"/>
      <c r="D20" s="84"/>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2400-000000000000}"/>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9873" r:id="rId3" name="Check Box 1">
              <controlPr locked="0" defaultSize="0" autoFill="0" autoLine="0" autoPict="0">
                <anchor moveWithCells="1">
                  <from>
                    <xdr:col>1</xdr:col>
                    <xdr:colOff>2564130</xdr:colOff>
                    <xdr:row>1</xdr:row>
                    <xdr:rowOff>0</xdr:rowOff>
                  </from>
                  <to>
                    <xdr:col>1</xdr:col>
                    <xdr:colOff>2868930</xdr:colOff>
                    <xdr:row>2</xdr:row>
                    <xdr:rowOff>19050</xdr:rowOff>
                  </to>
                </anchor>
              </controlPr>
            </control>
          </mc:Choice>
        </mc:AlternateContent>
        <mc:AlternateContent xmlns:mc="http://schemas.openxmlformats.org/markup-compatibility/2006">
          <mc:Choice Requires="x14">
            <control shapeId="79874"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79875"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79876"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79877"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79878"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79879"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79880"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79881"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7"/>
  <dimension ref="A1:E45"/>
  <sheetViews>
    <sheetView showGridLines="0" workbookViewId="0">
      <selection activeCell="D9" sqref="D9"/>
    </sheetView>
  </sheetViews>
  <sheetFormatPr defaultColWidth="16.59765625" defaultRowHeight="15.6"/>
  <cols>
    <col min="1" max="1" width="16.59765625" style="204"/>
    <col min="2" max="2" width="106.84765625" style="1" customWidth="1"/>
    <col min="3" max="3" width="17.59765625" style="1" customWidth="1"/>
    <col min="4" max="4" width="25.34765625" style="1" customWidth="1"/>
    <col min="5" max="16384" width="16.59765625" style="1"/>
  </cols>
  <sheetData>
    <row r="1" spans="1:5" s="118" customFormat="1" ht="37.5" customHeight="1">
      <c r="A1" s="202"/>
      <c r="B1" s="118" t="s">
        <v>575</v>
      </c>
      <c r="C1" s="252" t="s">
        <v>173</v>
      </c>
      <c r="D1" s="252"/>
      <c r="E1" s="252"/>
    </row>
    <row r="2" spans="1:5">
      <c r="B2" s="148" t="s">
        <v>293</v>
      </c>
    </row>
    <row r="3" spans="1:5">
      <c r="B3" s="82"/>
    </row>
    <row r="4" spans="1:5" s="70" customFormat="1" ht="53.5" customHeight="1">
      <c r="A4" s="203"/>
      <c r="B4" s="84" t="s">
        <v>31</v>
      </c>
      <c r="C4" s="84"/>
      <c r="D4" s="84"/>
    </row>
    <row r="5" spans="1:5">
      <c r="B5" s="82"/>
    </row>
    <row r="6" spans="1:5" ht="82.5" customHeight="1">
      <c r="B6" s="81" t="s">
        <v>618</v>
      </c>
      <c r="C6" s="86"/>
      <c r="D6" s="86"/>
    </row>
    <row r="7" spans="1:5">
      <c r="B7" s="82"/>
    </row>
    <row r="8" spans="1:5" s="3" customFormat="1" ht="38.65" customHeight="1">
      <c r="B8" s="83" t="s">
        <v>198</v>
      </c>
      <c r="C8" s="83" t="s">
        <v>296</v>
      </c>
      <c r="D8" s="79" t="s">
        <v>212</v>
      </c>
    </row>
    <row r="9" spans="1:5" s="70" customFormat="1" ht="38.1" customHeight="1">
      <c r="A9" s="203"/>
      <c r="B9" s="120" t="s">
        <v>576</v>
      </c>
      <c r="C9" s="212">
        <v>0</v>
      </c>
      <c r="D9" s="212"/>
    </row>
    <row r="10" spans="1:5" s="70" customFormat="1" ht="38.1" customHeight="1">
      <c r="A10" s="203"/>
      <c r="B10" s="24" t="s">
        <v>619</v>
      </c>
      <c r="C10" s="214">
        <v>1</v>
      </c>
      <c r="D10" s="215"/>
    </row>
    <row r="11" spans="1:5" s="70" customFormat="1" ht="38.25" customHeight="1">
      <c r="A11" s="203"/>
      <c r="B11" s="120" t="s">
        <v>577</v>
      </c>
      <c r="C11" s="212">
        <v>2</v>
      </c>
      <c r="D11" s="215"/>
    </row>
    <row r="12" spans="1:5" s="70" customFormat="1" ht="33" customHeight="1">
      <c r="A12" s="203"/>
      <c r="B12" s="24" t="s">
        <v>578</v>
      </c>
      <c r="C12" s="214">
        <v>3</v>
      </c>
      <c r="D12" s="215"/>
    </row>
    <row r="13" spans="1:5" ht="16" customHeight="1">
      <c r="D13" s="73"/>
    </row>
    <row r="14" spans="1:5" ht="16" customHeight="1">
      <c r="B14" s="82" t="s">
        <v>283</v>
      </c>
      <c r="C14" s="82"/>
    </row>
    <row r="15" spans="1:5">
      <c r="B15" s="82"/>
      <c r="C15" s="82"/>
    </row>
    <row r="16" spans="1:5" ht="63" customHeight="1">
      <c r="B16" s="90" t="s">
        <v>197</v>
      </c>
      <c r="C16" s="84"/>
      <c r="D16" s="84"/>
    </row>
    <row r="18" spans="1:4" ht="16" customHeight="1">
      <c r="B18" s="82" t="s">
        <v>53</v>
      </c>
      <c r="C18" s="82"/>
      <c r="D18" s="82"/>
    </row>
    <row r="19" spans="1:4">
      <c r="B19" s="82"/>
    </row>
    <row r="20" spans="1:4" ht="63" customHeight="1">
      <c r="B20" s="90" t="s">
        <v>197</v>
      </c>
      <c r="C20" s="84"/>
      <c r="D20" s="84"/>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2500-000000000000}"/>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80897" r:id="rId3" name="Check Box 1">
              <controlPr locked="0" defaultSize="0" autoFill="0" autoLine="0" autoPict="0">
                <anchor moveWithCells="1">
                  <from>
                    <xdr:col>1</xdr:col>
                    <xdr:colOff>2640330</xdr:colOff>
                    <xdr:row>1</xdr:row>
                    <xdr:rowOff>30480</xdr:rowOff>
                  </from>
                  <to>
                    <xdr:col>1</xdr:col>
                    <xdr:colOff>2945130</xdr:colOff>
                    <xdr:row>2</xdr:row>
                    <xdr:rowOff>49530</xdr:rowOff>
                  </to>
                </anchor>
              </controlPr>
            </control>
          </mc:Choice>
        </mc:AlternateContent>
        <mc:AlternateContent xmlns:mc="http://schemas.openxmlformats.org/markup-compatibility/2006">
          <mc:Choice Requires="x14">
            <control shapeId="80898"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80899"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80900"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80901"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80902"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80903"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80904"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80905"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8"/>
  <dimension ref="A1:E45"/>
  <sheetViews>
    <sheetView showGridLines="0" zoomScale="91" workbookViewId="0">
      <selection activeCell="D9" sqref="D9"/>
    </sheetView>
  </sheetViews>
  <sheetFormatPr defaultColWidth="16.59765625" defaultRowHeight="15.6"/>
  <cols>
    <col min="1" max="1" width="16.59765625" style="204"/>
    <col min="2" max="2" width="106.84765625" style="1" customWidth="1"/>
    <col min="3" max="4" width="20.84765625" style="1" customWidth="1"/>
    <col min="5" max="16384" width="16.59765625" style="1"/>
  </cols>
  <sheetData>
    <row r="1" spans="1:5" s="118" customFormat="1" ht="31.9" customHeight="1">
      <c r="A1" s="202"/>
      <c r="B1" s="118" t="s">
        <v>579</v>
      </c>
      <c r="C1" s="252" t="s">
        <v>173</v>
      </c>
      <c r="D1" s="252"/>
      <c r="E1" s="252"/>
    </row>
    <row r="2" spans="1:5">
      <c r="B2" s="148" t="s">
        <v>293</v>
      </c>
    </row>
    <row r="3" spans="1:5">
      <c r="B3" s="82"/>
    </row>
    <row r="4" spans="1:5" s="70" customFormat="1" ht="53.1" customHeight="1">
      <c r="A4" s="203"/>
      <c r="B4" s="84" t="s">
        <v>580</v>
      </c>
      <c r="C4" s="84"/>
      <c r="D4" s="84"/>
    </row>
    <row r="5" spans="1:5">
      <c r="B5" s="82"/>
    </row>
    <row r="6" spans="1:5" ht="42.4" customHeight="1">
      <c r="B6" s="81" t="s">
        <v>331</v>
      </c>
      <c r="C6" s="86"/>
      <c r="D6" s="86"/>
    </row>
    <row r="7" spans="1:5">
      <c r="B7" s="82"/>
    </row>
    <row r="8" spans="1:5" s="3" customFormat="1" ht="39.4" customHeight="1">
      <c r="B8" s="83" t="s">
        <v>198</v>
      </c>
      <c r="C8" s="83" t="s">
        <v>296</v>
      </c>
      <c r="D8" s="79" t="s">
        <v>212</v>
      </c>
    </row>
    <row r="9" spans="1:5" s="70" customFormat="1" ht="39.75" customHeight="1">
      <c r="A9" s="203"/>
      <c r="B9" s="120" t="s">
        <v>581</v>
      </c>
      <c r="C9" s="212">
        <v>0</v>
      </c>
      <c r="D9" s="212"/>
    </row>
    <row r="10" spans="1:5" s="70" customFormat="1" ht="35.25" customHeight="1">
      <c r="A10" s="203"/>
      <c r="B10" s="120" t="s">
        <v>582</v>
      </c>
      <c r="C10" s="214">
        <v>1</v>
      </c>
      <c r="D10" s="215"/>
    </row>
    <row r="11" spans="1:5" s="70" customFormat="1" ht="47.25" customHeight="1">
      <c r="A11" s="203"/>
      <c r="B11" s="120" t="s">
        <v>583</v>
      </c>
      <c r="C11" s="212">
        <v>2</v>
      </c>
      <c r="D11" s="215"/>
    </row>
    <row r="12" spans="1:5" s="70" customFormat="1" ht="36" customHeight="1">
      <c r="A12" s="203"/>
      <c r="B12" s="120" t="s">
        <v>584</v>
      </c>
      <c r="C12" s="214">
        <v>3</v>
      </c>
      <c r="D12" s="215"/>
    </row>
    <row r="13" spans="1:5">
      <c r="B13" s="6"/>
      <c r="D13" s="73"/>
    </row>
    <row r="14" spans="1:5" ht="16" customHeight="1">
      <c r="B14" s="82" t="s">
        <v>283</v>
      </c>
      <c r="C14" s="82"/>
    </row>
    <row r="15" spans="1:5">
      <c r="B15" s="82"/>
      <c r="C15" s="82"/>
    </row>
    <row r="16" spans="1:5" ht="64" customHeight="1">
      <c r="B16" s="90" t="s">
        <v>197</v>
      </c>
      <c r="C16" s="84"/>
      <c r="D16" s="84"/>
    </row>
    <row r="18" spans="1:4" ht="16" customHeight="1">
      <c r="B18" s="82" t="s">
        <v>53</v>
      </c>
      <c r="C18" s="82"/>
      <c r="D18" s="82"/>
    </row>
    <row r="19" spans="1:4">
      <c r="B19" s="82"/>
    </row>
    <row r="20" spans="1:4" ht="64" customHeight="1">
      <c r="B20" s="90" t="s">
        <v>197</v>
      </c>
      <c r="C20" s="84"/>
      <c r="D20" s="84"/>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2800-000000000000}"/>
  </hyperlinks>
  <pageMargins left="0.7" right="0.7" top="0.75" bottom="0.75" header="0.3" footer="0.3"/>
  <pageSetup paperSize="9" scale="85" orientation="portrait" horizontalDpi="0" verticalDpi="0"/>
  <rowBreaks count="1" manualBreakCount="1">
    <brk id="23"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81921" r:id="rId3" name="Check Box 1">
              <controlPr locked="0" defaultSize="0" autoFill="0" autoLine="0" autoPict="0">
                <anchor moveWithCells="1">
                  <from>
                    <xdr:col>1</xdr:col>
                    <xdr:colOff>2678430</xdr:colOff>
                    <xdr:row>0</xdr:row>
                    <xdr:rowOff>354330</xdr:rowOff>
                  </from>
                  <to>
                    <xdr:col>1</xdr:col>
                    <xdr:colOff>2983230</xdr:colOff>
                    <xdr:row>1</xdr:row>
                    <xdr:rowOff>171450</xdr:rowOff>
                  </to>
                </anchor>
              </controlPr>
            </control>
          </mc:Choice>
        </mc:AlternateContent>
        <mc:AlternateContent xmlns:mc="http://schemas.openxmlformats.org/markup-compatibility/2006">
          <mc:Choice Requires="x14">
            <control shapeId="81922"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81923"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81924"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81925"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81926"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81927"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81928"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81929"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9"/>
  <dimension ref="A1:E42"/>
  <sheetViews>
    <sheetView showGridLines="0" workbookViewId="0">
      <selection activeCell="D7" sqref="D7"/>
    </sheetView>
  </sheetViews>
  <sheetFormatPr defaultColWidth="16.59765625" defaultRowHeight="15.6"/>
  <cols>
    <col min="2" max="2" width="106.84765625" customWidth="1"/>
    <col min="3" max="4" width="17.59765625" customWidth="1"/>
    <col min="5" max="5" width="13.09765625" customWidth="1"/>
  </cols>
  <sheetData>
    <row r="1" spans="1:5" s="118" customFormat="1" ht="35.65" customHeight="1">
      <c r="A1" s="202"/>
      <c r="B1" s="118" t="s">
        <v>585</v>
      </c>
      <c r="C1" s="252" t="s">
        <v>173</v>
      </c>
      <c r="D1" s="252"/>
      <c r="E1" s="252"/>
    </row>
    <row r="2" spans="1:5" s="1" customFormat="1">
      <c r="A2" s="204"/>
      <c r="B2" s="148" t="s">
        <v>293</v>
      </c>
    </row>
    <row r="3" spans="1:5" s="1" customFormat="1">
      <c r="A3" s="204"/>
      <c r="B3" s="82"/>
    </row>
    <row r="4" spans="1:5" s="1" customFormat="1" ht="148" customHeight="1">
      <c r="A4" s="204"/>
      <c r="B4" s="81" t="s">
        <v>266</v>
      </c>
      <c r="C4" s="86"/>
      <c r="D4" s="86"/>
    </row>
    <row r="5" spans="1:5" s="1" customFormat="1">
      <c r="A5" s="204"/>
      <c r="B5" s="6"/>
    </row>
    <row r="6" spans="1:5" s="1" customFormat="1" ht="31.2">
      <c r="A6" s="204"/>
      <c r="B6" s="5" t="s">
        <v>586</v>
      </c>
      <c r="C6" s="78" t="s">
        <v>199</v>
      </c>
      <c r="D6" s="72" t="s">
        <v>216</v>
      </c>
    </row>
    <row r="7" spans="1:5" s="70" customFormat="1" ht="41.25" customHeight="1">
      <c r="A7" s="203"/>
      <c r="B7" s="120" t="s">
        <v>587</v>
      </c>
      <c r="C7" s="143"/>
      <c r="D7" s="212"/>
    </row>
    <row r="8" spans="1:5" s="70" customFormat="1" ht="41.25" customHeight="1">
      <c r="A8" s="203"/>
      <c r="B8" s="24" t="s">
        <v>588</v>
      </c>
      <c r="C8" s="125"/>
      <c r="D8" s="121"/>
    </row>
    <row r="9" spans="1:5" s="70" customFormat="1" ht="42.75" customHeight="1">
      <c r="A9" s="203"/>
      <c r="B9" s="120" t="s">
        <v>589</v>
      </c>
      <c r="C9" s="143"/>
      <c r="D9" s="121"/>
    </row>
    <row r="10" spans="1:5" s="1" customFormat="1">
      <c r="A10" s="204"/>
      <c r="D10" s="73"/>
    </row>
    <row r="11" spans="1:5" s="1" customFormat="1" ht="16" customHeight="1">
      <c r="A11" s="204"/>
      <c r="B11" s="5" t="s">
        <v>284</v>
      </c>
      <c r="C11" s="82"/>
    </row>
    <row r="12" spans="1:5" s="1" customFormat="1">
      <c r="A12" s="204"/>
      <c r="B12" s="82"/>
      <c r="C12" s="82"/>
    </row>
    <row r="13" spans="1:5" s="1" customFormat="1" ht="63" customHeight="1">
      <c r="A13" s="204"/>
      <c r="B13" s="90" t="s">
        <v>197</v>
      </c>
      <c r="C13" s="84"/>
      <c r="D13" s="84"/>
    </row>
    <row r="14" spans="1:5" s="1" customFormat="1">
      <c r="A14" s="204"/>
    </row>
    <row r="15" spans="1:5" s="1" customFormat="1" ht="16" customHeight="1">
      <c r="A15" s="204"/>
      <c r="B15" s="82" t="s">
        <v>200</v>
      </c>
      <c r="C15" s="82"/>
      <c r="D15" s="82"/>
    </row>
    <row r="16" spans="1:5" s="1" customFormat="1">
      <c r="A16" s="204"/>
      <c r="B16" s="82"/>
    </row>
    <row r="17" spans="1:4" s="1" customFormat="1" ht="64" customHeight="1">
      <c r="A17" s="204"/>
      <c r="B17" s="90" t="s">
        <v>197</v>
      </c>
      <c r="C17" s="84"/>
      <c r="D17" s="84"/>
    </row>
    <row r="18" spans="1:4" s="1" customFormat="1">
      <c r="A18" s="204"/>
      <c r="B18" s="71"/>
      <c r="C18" s="84"/>
      <c r="D18" s="84"/>
    </row>
    <row r="19" spans="1:4" s="204" customFormat="1" ht="30.75" customHeight="1">
      <c r="B19" s="205" t="s">
        <v>647</v>
      </c>
      <c r="C19" s="205"/>
    </row>
    <row r="20" spans="1:4" s="204" customFormat="1">
      <c r="B20" s="205"/>
      <c r="C20" s="205"/>
    </row>
    <row r="21" spans="1:4" s="204" customFormat="1">
      <c r="B21" s="80"/>
    </row>
    <row r="22" spans="1:4" s="204" customFormat="1">
      <c r="B22" s="12"/>
    </row>
    <row r="23" spans="1:4" s="204" customFormat="1" ht="16" customHeight="1">
      <c r="B23" s="80"/>
    </row>
    <row r="24" spans="1:4" s="204" customFormat="1" ht="16" customHeight="1">
      <c r="B24" s="12"/>
    </row>
    <row r="25" spans="1:4" s="204" customFormat="1">
      <c r="B25" s="80"/>
    </row>
    <row r="26" spans="1:4" s="204" customFormat="1">
      <c r="B26" s="12"/>
    </row>
    <row r="27" spans="1:4" s="204" customFormat="1">
      <c r="B27" s="80"/>
    </row>
    <row r="28" spans="1:4" s="204" customFormat="1">
      <c r="B28" s="12"/>
    </row>
    <row r="29" spans="1:4" s="204" customFormat="1">
      <c r="A29" s="206"/>
      <c r="B29" s="207"/>
    </row>
    <row r="30" spans="1:4" s="204" customFormat="1">
      <c r="A30" s="206"/>
      <c r="B30" s="207"/>
    </row>
    <row r="31" spans="1:4" s="204" customFormat="1">
      <c r="A31" s="206"/>
      <c r="B31" s="206"/>
    </row>
    <row r="32" spans="1:4" s="204" customFormat="1"/>
    <row r="33" spans="1:2" s="204" customFormat="1"/>
    <row r="34" spans="1:2" s="204" customFormat="1"/>
    <row r="35" spans="1:2" s="204" customFormat="1"/>
    <row r="36" spans="1:2" s="204" customFormat="1"/>
    <row r="37" spans="1:2" s="204" customFormat="1"/>
    <row r="38" spans="1:2" s="204" customFormat="1">
      <c r="A38" s="206"/>
      <c r="B38" s="207"/>
    </row>
    <row r="39" spans="1:2" s="204" customFormat="1">
      <c r="A39" s="206"/>
      <c r="B39" s="207"/>
    </row>
    <row r="40" spans="1:2" s="204" customFormat="1">
      <c r="A40" s="206"/>
      <c r="B40" s="207"/>
    </row>
    <row r="41" spans="1:2" s="204" customFormat="1">
      <c r="A41" s="206"/>
      <c r="B41" s="207"/>
    </row>
    <row r="42" spans="1:2" s="204" customFormat="1">
      <c r="A42" s="206"/>
      <c r="B42" s="207"/>
    </row>
  </sheetData>
  <mergeCells count="1">
    <mergeCell ref="C1:E1"/>
  </mergeCells>
  <hyperlinks>
    <hyperlink ref="C1" location="'Advanced METT questions+scores'!A1" display="Back to 'Advanced METT questions and scores'" xr:uid="{00000000-0004-0000-2A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61" r:id="rId3" name="Check Box 1">
              <controlPr defaultSize="0" autoFill="0" autoLine="0" autoPict="0">
                <anchor moveWithCells="1">
                  <from>
                    <xdr:col>2</xdr:col>
                    <xdr:colOff>601980</xdr:colOff>
                    <xdr:row>6</xdr:row>
                    <xdr:rowOff>106680</xdr:rowOff>
                  </from>
                  <to>
                    <xdr:col>3</xdr:col>
                    <xdr:colOff>0</xdr:colOff>
                    <xdr:row>6</xdr:row>
                    <xdr:rowOff>487680</xdr:rowOff>
                  </to>
                </anchor>
              </controlPr>
            </control>
          </mc:Choice>
        </mc:AlternateContent>
        <mc:AlternateContent xmlns:mc="http://schemas.openxmlformats.org/markup-compatibility/2006">
          <mc:Choice Requires="x14">
            <control shapeId="40962" r:id="rId4" name="Check Box 2">
              <controlPr defaultSize="0" autoFill="0" autoLine="0" autoPict="0">
                <anchor moveWithCells="1">
                  <from>
                    <xdr:col>2</xdr:col>
                    <xdr:colOff>582930</xdr:colOff>
                    <xdr:row>7</xdr:row>
                    <xdr:rowOff>87630</xdr:rowOff>
                  </from>
                  <to>
                    <xdr:col>2</xdr:col>
                    <xdr:colOff>1325880</xdr:colOff>
                    <xdr:row>7</xdr:row>
                    <xdr:rowOff>514350</xdr:rowOff>
                  </to>
                </anchor>
              </controlPr>
            </control>
          </mc:Choice>
        </mc:AlternateContent>
        <mc:AlternateContent xmlns:mc="http://schemas.openxmlformats.org/markup-compatibility/2006">
          <mc:Choice Requires="x14">
            <control shapeId="40963" r:id="rId5" name="Check Box 3">
              <controlPr defaultSize="0" autoFill="0" autoLine="0" autoPict="0">
                <anchor moveWithCells="1">
                  <from>
                    <xdr:col>2</xdr:col>
                    <xdr:colOff>590550</xdr:colOff>
                    <xdr:row>8</xdr:row>
                    <xdr:rowOff>125730</xdr:rowOff>
                  </from>
                  <to>
                    <xdr:col>2</xdr:col>
                    <xdr:colOff>1333500</xdr:colOff>
                    <xdr:row>8</xdr:row>
                    <xdr:rowOff>525780</xdr:rowOff>
                  </to>
                </anchor>
              </controlPr>
            </control>
          </mc:Choice>
        </mc:AlternateContent>
        <mc:AlternateContent xmlns:mc="http://schemas.openxmlformats.org/markup-compatibility/2006">
          <mc:Choice Requires="x14">
            <control shapeId="40965" r:id="rId6" name="Check Box 5">
              <controlPr locked="0" defaultSize="0" autoFill="0" autoLine="0" autoPict="0">
                <anchor moveWithCells="1">
                  <from>
                    <xdr:col>1</xdr:col>
                    <xdr:colOff>2716530</xdr:colOff>
                    <xdr:row>1</xdr:row>
                    <xdr:rowOff>11430</xdr:rowOff>
                  </from>
                  <to>
                    <xdr:col>1</xdr:col>
                    <xdr:colOff>3021330</xdr:colOff>
                    <xdr:row>2</xdr:row>
                    <xdr:rowOff>30480</xdr:rowOff>
                  </to>
                </anchor>
              </controlPr>
            </control>
          </mc:Choice>
        </mc:AlternateContent>
        <mc:AlternateContent xmlns:mc="http://schemas.openxmlformats.org/markup-compatibility/2006">
          <mc:Choice Requires="x14">
            <control shapeId="40966" r:id="rId7" name="Check Box 6">
              <controlPr defaultSize="0" autoFill="0" autoLine="0" autoPict="0">
                <anchor moveWithCells="1">
                  <from>
                    <xdr:col>0</xdr:col>
                    <xdr:colOff>0</xdr:colOff>
                    <xdr:row>19</xdr:row>
                    <xdr:rowOff>190500</xdr:rowOff>
                  </from>
                  <to>
                    <xdr:col>0</xdr:col>
                    <xdr:colOff>963930</xdr:colOff>
                    <xdr:row>21</xdr:row>
                    <xdr:rowOff>0</xdr:rowOff>
                  </to>
                </anchor>
              </controlPr>
            </control>
          </mc:Choice>
        </mc:AlternateContent>
        <mc:AlternateContent xmlns:mc="http://schemas.openxmlformats.org/markup-compatibility/2006">
          <mc:Choice Requires="x14">
            <control shapeId="40967" r:id="rId8" name="Check Box 7">
              <controlPr defaultSize="0" autoFill="0" autoLine="0" autoPict="0">
                <anchor moveWithCells="1">
                  <from>
                    <xdr:col>0</xdr:col>
                    <xdr:colOff>0</xdr:colOff>
                    <xdr:row>20</xdr:row>
                    <xdr:rowOff>182880</xdr:rowOff>
                  </from>
                  <to>
                    <xdr:col>0</xdr:col>
                    <xdr:colOff>906780</xdr:colOff>
                    <xdr:row>22</xdr:row>
                    <xdr:rowOff>0</xdr:rowOff>
                  </to>
                </anchor>
              </controlPr>
            </control>
          </mc:Choice>
        </mc:AlternateContent>
        <mc:AlternateContent xmlns:mc="http://schemas.openxmlformats.org/markup-compatibility/2006">
          <mc:Choice Requires="x14">
            <control shapeId="40968" r:id="rId9" name="Check Box 8">
              <controlPr defaultSize="0" autoFill="0" autoLine="0" autoPict="0">
                <anchor moveWithCells="1">
                  <from>
                    <xdr:col>0</xdr:col>
                    <xdr:colOff>0</xdr:colOff>
                    <xdr:row>22</xdr:row>
                    <xdr:rowOff>0</xdr:rowOff>
                  </from>
                  <to>
                    <xdr:col>1</xdr:col>
                    <xdr:colOff>392430</xdr:colOff>
                    <xdr:row>23</xdr:row>
                    <xdr:rowOff>0</xdr:rowOff>
                  </to>
                </anchor>
              </controlPr>
            </control>
          </mc:Choice>
        </mc:AlternateContent>
        <mc:AlternateContent xmlns:mc="http://schemas.openxmlformats.org/markup-compatibility/2006">
          <mc:Choice Requires="x14">
            <control shapeId="40969" r:id="rId10" name="Check Box 9">
              <controlPr defaultSize="0" autoFill="0" autoLine="0" autoPict="0">
                <anchor moveWithCells="1">
                  <from>
                    <xdr:col>0</xdr:col>
                    <xdr:colOff>0</xdr:colOff>
                    <xdr:row>23</xdr:row>
                    <xdr:rowOff>11430</xdr:rowOff>
                  </from>
                  <to>
                    <xdr:col>0</xdr:col>
                    <xdr:colOff>800100</xdr:colOff>
                    <xdr:row>24</xdr:row>
                    <xdr:rowOff>19050</xdr:rowOff>
                  </to>
                </anchor>
              </controlPr>
            </control>
          </mc:Choice>
        </mc:AlternateContent>
        <mc:AlternateContent xmlns:mc="http://schemas.openxmlformats.org/markup-compatibility/2006">
          <mc:Choice Requires="x14">
            <control shapeId="40970" r:id="rId11" name="Check Box 10">
              <controlPr defaultSize="0" autoFill="0" autoLine="0" autoPict="0">
                <anchor moveWithCells="1">
                  <from>
                    <xdr:col>0</xdr:col>
                    <xdr:colOff>0</xdr:colOff>
                    <xdr:row>24</xdr:row>
                    <xdr:rowOff>11430</xdr:rowOff>
                  </from>
                  <to>
                    <xdr:col>0</xdr:col>
                    <xdr:colOff>800100</xdr:colOff>
                    <xdr:row>25</xdr:row>
                    <xdr:rowOff>19050</xdr:rowOff>
                  </to>
                </anchor>
              </controlPr>
            </control>
          </mc:Choice>
        </mc:AlternateContent>
        <mc:AlternateContent xmlns:mc="http://schemas.openxmlformats.org/markup-compatibility/2006">
          <mc:Choice Requires="x14">
            <control shapeId="40971" r:id="rId12" name="Check Box 11">
              <controlPr defaultSize="0" autoFill="0" autoLine="0" autoPict="0">
                <anchor moveWithCells="1">
                  <from>
                    <xdr:col>0</xdr:col>
                    <xdr:colOff>0</xdr:colOff>
                    <xdr:row>24</xdr:row>
                    <xdr:rowOff>201930</xdr:rowOff>
                  </from>
                  <to>
                    <xdr:col>0</xdr:col>
                    <xdr:colOff>1097280</xdr:colOff>
                    <xdr:row>26</xdr:row>
                    <xdr:rowOff>19050</xdr:rowOff>
                  </to>
                </anchor>
              </controlPr>
            </control>
          </mc:Choice>
        </mc:AlternateContent>
        <mc:AlternateContent xmlns:mc="http://schemas.openxmlformats.org/markup-compatibility/2006">
          <mc:Choice Requires="x14">
            <control shapeId="40972" r:id="rId13" name="Check Box 12">
              <controlPr defaultSize="0" autoFill="0" autoLine="0" autoPict="0">
                <anchor moveWithCells="1">
                  <from>
                    <xdr:col>0</xdr:col>
                    <xdr:colOff>0</xdr:colOff>
                    <xdr:row>26</xdr:row>
                    <xdr:rowOff>0</xdr:rowOff>
                  </from>
                  <to>
                    <xdr:col>0</xdr:col>
                    <xdr:colOff>1123950</xdr:colOff>
                    <xdr:row>27</xdr:row>
                    <xdr:rowOff>11430</xdr:rowOff>
                  </to>
                </anchor>
              </controlPr>
            </control>
          </mc:Choice>
        </mc:AlternateContent>
        <mc:AlternateContent xmlns:mc="http://schemas.openxmlformats.org/markup-compatibility/2006">
          <mc:Choice Requires="x14">
            <control shapeId="40973" r:id="rId14" name="Check Box 13">
              <controlPr defaultSize="0" autoFill="0" autoLine="0" autoPict="0">
                <anchor moveWithCells="1">
                  <from>
                    <xdr:col>0</xdr:col>
                    <xdr:colOff>0</xdr:colOff>
                    <xdr:row>27</xdr:row>
                    <xdr:rowOff>0</xdr:rowOff>
                  </from>
                  <to>
                    <xdr:col>0</xdr:col>
                    <xdr:colOff>857250</xdr:colOff>
                    <xdr:row>28</xdr:row>
                    <xdr:rowOff>11430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0">
    <pageSetUpPr fitToPage="1"/>
  </sheetPr>
  <dimension ref="A1:P45"/>
  <sheetViews>
    <sheetView showGridLines="0" topLeftCell="A22" zoomScale="75" workbookViewId="0">
      <selection activeCell="B43" sqref="B43"/>
    </sheetView>
  </sheetViews>
  <sheetFormatPr defaultColWidth="16.59765625" defaultRowHeight="15.6"/>
  <cols>
    <col min="2" max="2" width="29.59765625" customWidth="1"/>
    <col min="10" max="10" width="11.84765625" customWidth="1"/>
    <col min="11" max="11" width="18.09765625" bestFit="1" customWidth="1"/>
    <col min="12" max="12" width="19.84765625" bestFit="1" customWidth="1"/>
  </cols>
  <sheetData>
    <row r="1" spans="1:16" ht="21" customHeight="1">
      <c r="B1" s="51" t="s">
        <v>637</v>
      </c>
      <c r="M1" s="255" t="s">
        <v>173</v>
      </c>
      <c r="N1" s="255"/>
      <c r="O1" s="255"/>
      <c r="P1" s="255"/>
    </row>
    <row r="3" spans="1:16">
      <c r="B3" t="s">
        <v>116</v>
      </c>
    </row>
    <row r="5" spans="1:16" ht="69" customHeight="1">
      <c r="B5" s="256" t="s">
        <v>628</v>
      </c>
      <c r="C5" s="256"/>
      <c r="D5" s="256"/>
      <c r="E5" s="256"/>
      <c r="F5" s="256"/>
      <c r="G5" s="256"/>
      <c r="H5" s="256"/>
      <c r="I5" s="256"/>
      <c r="J5" s="256"/>
    </row>
    <row r="6" spans="1:16">
      <c r="B6" s="52" t="s">
        <v>629</v>
      </c>
    </row>
    <row r="7" spans="1:16">
      <c r="B7" t="s">
        <v>630</v>
      </c>
    </row>
    <row r="8" spans="1:16">
      <c r="B8" t="s">
        <v>631</v>
      </c>
    </row>
    <row r="9" spans="1:16">
      <c r="B9" t="s">
        <v>632</v>
      </c>
    </row>
    <row r="10" spans="1:16">
      <c r="B10" t="s">
        <v>633</v>
      </c>
    </row>
    <row r="11" spans="1:16">
      <c r="B11" t="s">
        <v>634</v>
      </c>
    </row>
    <row r="12" spans="1:16">
      <c r="B12" t="s">
        <v>635</v>
      </c>
    </row>
    <row r="14" spans="1:16">
      <c r="B14" s="52" t="s">
        <v>638</v>
      </c>
    </row>
    <row r="15" spans="1:16" s="195" customFormat="1" ht="35.1" customHeight="1">
      <c r="A15" s="204"/>
      <c r="B15" s="225" t="s">
        <v>636</v>
      </c>
      <c r="C15" s="225"/>
      <c r="D15" s="225"/>
      <c r="E15" s="225"/>
      <c r="F15" s="225"/>
      <c r="G15" s="225"/>
      <c r="H15" s="225"/>
      <c r="I15" s="225"/>
    </row>
    <row r="16" spans="1:16" s="195" customFormat="1" ht="23.25" customHeight="1">
      <c r="A16" s="204"/>
      <c r="B16" t="s">
        <v>140</v>
      </c>
      <c r="C16" s="194"/>
      <c r="D16" s="194"/>
      <c r="E16" s="194"/>
      <c r="F16" s="194"/>
      <c r="G16" s="194"/>
      <c r="H16" s="194"/>
      <c r="I16" s="194"/>
    </row>
    <row r="17" spans="1:9" s="195" customFormat="1" ht="23.25" customHeight="1">
      <c r="A17" s="204"/>
      <c r="B17" t="s">
        <v>141</v>
      </c>
      <c r="C17" s="194"/>
      <c r="D17" s="194"/>
      <c r="E17" s="194"/>
      <c r="F17" s="194"/>
      <c r="G17" s="194"/>
      <c r="H17" s="194"/>
      <c r="I17" s="194"/>
    </row>
    <row r="18" spans="1:9" s="195" customFormat="1" ht="23.25" customHeight="1">
      <c r="A18" s="204"/>
      <c r="B18" t="s">
        <v>142</v>
      </c>
      <c r="C18" s="194"/>
      <c r="D18" s="194"/>
      <c r="E18" s="194"/>
      <c r="F18" s="194"/>
      <c r="G18" s="194"/>
      <c r="H18" s="194"/>
      <c r="I18" s="194"/>
    </row>
    <row r="19" spans="1:9" s="195" customFormat="1" ht="20.25" customHeight="1">
      <c r="A19" s="204"/>
      <c r="B19" t="s">
        <v>143</v>
      </c>
      <c r="C19" s="194"/>
      <c r="D19" s="194"/>
      <c r="E19" s="194"/>
      <c r="F19" s="194"/>
      <c r="G19" s="194"/>
      <c r="H19" s="194"/>
      <c r="I19" s="194"/>
    </row>
    <row r="20" spans="1:9" s="195" customFormat="1" ht="20.25" customHeight="1">
      <c r="A20" s="204"/>
      <c r="B20" t="s">
        <v>144</v>
      </c>
      <c r="C20" s="194"/>
      <c r="D20" s="194"/>
      <c r="E20" s="194"/>
      <c r="F20" s="194"/>
      <c r="G20" s="194"/>
      <c r="H20" s="194"/>
      <c r="I20" s="194"/>
    </row>
    <row r="21" spans="1:9" s="195" customFormat="1" ht="20.25" customHeight="1">
      <c r="A21" s="204"/>
      <c r="C21" s="194"/>
      <c r="D21" s="194"/>
      <c r="E21" s="194"/>
      <c r="F21" s="194"/>
      <c r="G21" s="194"/>
      <c r="H21" s="194"/>
      <c r="I21" s="194"/>
    </row>
    <row r="22" spans="1:9" s="195" customFormat="1" ht="93.6" customHeight="1">
      <c r="A22" s="204"/>
      <c r="B22" s="24" t="s">
        <v>639</v>
      </c>
      <c r="C22" s="24" t="s">
        <v>640</v>
      </c>
      <c r="D22" s="258" t="s">
        <v>641</v>
      </c>
      <c r="E22" s="258"/>
      <c r="F22" s="258"/>
      <c r="G22" s="258"/>
      <c r="H22" s="194"/>
      <c r="I22" s="194"/>
    </row>
    <row r="23" spans="1:9" s="195" customFormat="1" ht="93.6" customHeight="1">
      <c r="A23" s="204"/>
      <c r="B23" s="24" t="s">
        <v>642</v>
      </c>
      <c r="C23" s="24" t="s">
        <v>640</v>
      </c>
      <c r="D23" s="258" t="s">
        <v>641</v>
      </c>
      <c r="E23" s="258"/>
      <c r="F23" s="258"/>
      <c r="G23" s="258"/>
      <c r="H23" s="194"/>
      <c r="I23" s="194"/>
    </row>
    <row r="24" spans="1:9" s="195" customFormat="1" ht="35.1" customHeight="1">
      <c r="A24" s="204"/>
      <c r="B24" s="194"/>
      <c r="C24" s="194"/>
      <c r="D24" s="194"/>
      <c r="E24" s="194"/>
      <c r="F24" s="194"/>
      <c r="G24" s="194"/>
      <c r="H24" s="194"/>
      <c r="I24" s="194"/>
    </row>
    <row r="26" spans="1:9">
      <c r="B26" s="52" t="s">
        <v>117</v>
      </c>
    </row>
    <row r="27" spans="1:9">
      <c r="B27" t="s">
        <v>145</v>
      </c>
    </row>
    <row r="28" spans="1:9">
      <c r="B28" t="s">
        <v>146</v>
      </c>
    </row>
    <row r="29" spans="1:9">
      <c r="B29" t="s">
        <v>147</v>
      </c>
    </row>
    <row r="31" spans="1:9">
      <c r="B31" s="52" t="s">
        <v>118</v>
      </c>
    </row>
    <row r="33" spans="2:12">
      <c r="B33" s="52" t="s">
        <v>119</v>
      </c>
    </row>
    <row r="35" spans="2:12">
      <c r="B35" s="52" t="s">
        <v>132</v>
      </c>
    </row>
    <row r="36" spans="2:12" ht="15.9" thickBot="1"/>
    <row r="37" spans="2:12">
      <c r="B37" s="259" t="s">
        <v>120</v>
      </c>
      <c r="C37" s="261" t="s">
        <v>121</v>
      </c>
      <c r="D37" s="262"/>
      <c r="E37" s="262"/>
      <c r="F37" s="262"/>
      <c r="G37" s="263"/>
      <c r="H37" s="261" t="s">
        <v>122</v>
      </c>
      <c r="I37" s="264"/>
      <c r="J37" s="262"/>
      <c r="K37" s="259" t="s">
        <v>130</v>
      </c>
      <c r="L37" s="259" t="s">
        <v>131</v>
      </c>
    </row>
    <row r="38" spans="2:12">
      <c r="B38" s="260"/>
      <c r="C38" s="56" t="s">
        <v>123</v>
      </c>
      <c r="D38" s="57" t="s">
        <v>124</v>
      </c>
      <c r="E38" s="57" t="s">
        <v>125</v>
      </c>
      <c r="F38" s="57" t="s">
        <v>126</v>
      </c>
      <c r="G38" s="58" t="s">
        <v>127</v>
      </c>
      <c r="H38" s="57" t="s">
        <v>128</v>
      </c>
      <c r="I38" s="76" t="s">
        <v>129</v>
      </c>
      <c r="J38" s="76" t="s">
        <v>202</v>
      </c>
      <c r="K38" s="260"/>
      <c r="L38" s="260"/>
    </row>
    <row r="39" spans="2:12">
      <c r="B39" s="92">
        <f>'Protected area attributes'!B45</f>
        <v>0</v>
      </c>
      <c r="C39" s="200"/>
      <c r="D39" s="91"/>
      <c r="E39" s="91"/>
      <c r="F39" s="91"/>
      <c r="G39" s="201"/>
      <c r="H39" s="200"/>
      <c r="I39" s="95"/>
      <c r="J39" s="91"/>
      <c r="K39" s="92"/>
      <c r="L39" s="92"/>
    </row>
    <row r="40" spans="2:12">
      <c r="B40" s="92">
        <f>'Protected area attributes'!B46</f>
        <v>0</v>
      </c>
      <c r="C40" s="196"/>
      <c r="D40" s="7"/>
      <c r="E40" s="7"/>
      <c r="F40" s="7"/>
      <c r="G40" s="197"/>
      <c r="H40" s="196"/>
      <c r="I40" s="77"/>
      <c r="J40" s="7"/>
      <c r="K40" s="55"/>
      <c r="L40" s="55"/>
    </row>
    <row r="41" spans="2:12">
      <c r="B41" s="92">
        <f>'Protected area attributes'!B47</f>
        <v>0</v>
      </c>
      <c r="C41" s="200"/>
      <c r="D41" s="91"/>
      <c r="E41" s="91"/>
      <c r="F41" s="91"/>
      <c r="G41" s="201"/>
      <c r="H41" s="200"/>
      <c r="I41" s="95"/>
      <c r="J41" s="91"/>
      <c r="K41" s="92"/>
      <c r="L41" s="92"/>
    </row>
    <row r="42" spans="2:12">
      <c r="B42" s="92">
        <f>'Protected area attributes'!B48</f>
        <v>0</v>
      </c>
      <c r="C42" s="196"/>
      <c r="D42" s="7"/>
      <c r="E42" s="7"/>
      <c r="F42" s="7"/>
      <c r="G42" s="197"/>
      <c r="H42" s="196"/>
      <c r="I42" s="77"/>
      <c r="J42" s="7"/>
      <c r="K42" s="55"/>
      <c r="L42" s="55"/>
    </row>
    <row r="43" spans="2:12" ht="15.9" thickBot="1">
      <c r="B43" s="92">
        <f>'Protected area attributes'!B49</f>
        <v>0</v>
      </c>
      <c r="C43" s="198"/>
      <c r="D43" s="97"/>
      <c r="E43" s="97"/>
      <c r="F43" s="97"/>
      <c r="G43" s="199"/>
      <c r="H43" s="198"/>
      <c r="I43" s="99"/>
      <c r="J43" s="97"/>
      <c r="K43" s="100"/>
      <c r="L43" s="100"/>
    </row>
    <row r="45" spans="2:12" ht="50.1" customHeight="1">
      <c r="B45" s="257" t="s">
        <v>287</v>
      </c>
      <c r="C45" s="257"/>
      <c r="D45" s="257"/>
      <c r="E45" s="257"/>
      <c r="F45" s="257"/>
      <c r="G45" s="257"/>
      <c r="H45" s="257"/>
      <c r="I45" s="257"/>
      <c r="J45" s="257"/>
      <c r="K45" s="257"/>
      <c r="L45" s="257"/>
    </row>
  </sheetData>
  <mergeCells count="11">
    <mergeCell ref="M1:P1"/>
    <mergeCell ref="B5:J5"/>
    <mergeCell ref="B45:L45"/>
    <mergeCell ref="B15:I15"/>
    <mergeCell ref="D22:G22"/>
    <mergeCell ref="D23:G23"/>
    <mergeCell ref="B37:B38"/>
    <mergeCell ref="C37:G37"/>
    <mergeCell ref="H37:J37"/>
    <mergeCell ref="K37:K38"/>
    <mergeCell ref="L37:L38"/>
  </mergeCells>
  <phoneticPr fontId="17" type="noConversion"/>
  <hyperlinks>
    <hyperlink ref="M1" location="'Advanced METT questions+scores'!A1" display="Back to 'Advanced METT questions and scores'" xr:uid="{34E7FF99-58A2-42F0-BA2B-F4955B7ECB8F}"/>
  </hyperlinks>
  <pageMargins left="0.7" right="0.7" top="0.75" bottom="0.75" header="0.3" footer="0.3"/>
  <pageSetup paperSize="9" scale="79" orientation="landscape" horizontalDpi="0" verticalDpi="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BC7B-FC3D-4D88-8E99-39C11E28E823}">
  <sheetPr codeName="Sheet48"/>
  <dimension ref="A1:E45"/>
  <sheetViews>
    <sheetView workbookViewId="0">
      <selection activeCell="D9" sqref="D9"/>
    </sheetView>
  </sheetViews>
  <sheetFormatPr defaultColWidth="16.59765625" defaultRowHeight="14.4"/>
  <cols>
    <col min="1" max="1" width="16.59765625" style="151"/>
    <col min="2" max="2" width="106.84765625" style="151" customWidth="1"/>
    <col min="3" max="3" width="19.84765625" style="151" customWidth="1"/>
    <col min="4" max="4" width="21" style="151" customWidth="1"/>
    <col min="5" max="16384" width="16.59765625" style="151"/>
  </cols>
  <sheetData>
    <row r="1" spans="2:5" ht="20.399999999999999">
      <c r="B1" s="150" t="s">
        <v>594</v>
      </c>
      <c r="C1" s="253" t="s">
        <v>173</v>
      </c>
      <c r="D1" s="253"/>
      <c r="E1" s="253"/>
    </row>
    <row r="2" spans="2:5" ht="15.6">
      <c r="B2" s="152"/>
      <c r="C2" s="153"/>
      <c r="D2" s="153"/>
      <c r="E2" s="153"/>
    </row>
    <row r="3" spans="2:5" ht="15.6">
      <c r="B3" s="167" t="s">
        <v>293</v>
      </c>
      <c r="C3" s="153"/>
      <c r="D3" s="153"/>
      <c r="E3" s="153"/>
    </row>
    <row r="4" spans="2:5" ht="15.6">
      <c r="B4" s="152" t="s">
        <v>294</v>
      </c>
      <c r="C4" s="152"/>
      <c r="D4" s="152"/>
      <c r="E4" s="153"/>
    </row>
    <row r="5" spans="2:5" ht="15.6">
      <c r="B5" s="152"/>
      <c r="C5" s="153"/>
      <c r="D5" s="153"/>
      <c r="E5" s="153"/>
    </row>
    <row r="6" spans="2:5" ht="15.6">
      <c r="B6" s="154" t="s">
        <v>295</v>
      </c>
      <c r="C6" s="155"/>
      <c r="D6" s="155"/>
      <c r="E6" s="153"/>
    </row>
    <row r="7" spans="2:5" ht="15.6">
      <c r="B7" s="152"/>
      <c r="C7" s="153"/>
      <c r="D7" s="153"/>
      <c r="E7" s="153"/>
    </row>
    <row r="8" spans="2:5" ht="31.2">
      <c r="B8" s="156" t="s">
        <v>198</v>
      </c>
      <c r="C8" s="157" t="s">
        <v>296</v>
      </c>
      <c r="D8" s="158" t="s">
        <v>212</v>
      </c>
      <c r="E8" s="159"/>
    </row>
    <row r="9" spans="2:5" ht="45.75" customHeight="1">
      <c r="B9" s="160" t="s">
        <v>297</v>
      </c>
      <c r="C9" s="219">
        <v>0</v>
      </c>
      <c r="D9" s="219"/>
      <c r="E9" s="153"/>
    </row>
    <row r="10" spans="2:5" ht="28.8">
      <c r="B10" s="161" t="s">
        <v>298</v>
      </c>
      <c r="C10" s="220">
        <v>1</v>
      </c>
      <c r="D10" s="221"/>
      <c r="E10" s="153"/>
    </row>
    <row r="11" spans="2:5" ht="28.8">
      <c r="B11" s="160" t="s">
        <v>299</v>
      </c>
      <c r="C11" s="219">
        <v>2</v>
      </c>
      <c r="D11" s="221"/>
      <c r="E11" s="153"/>
    </row>
    <row r="12" spans="2:5" ht="28.8">
      <c r="B12" s="160" t="s">
        <v>300</v>
      </c>
      <c r="C12" s="220">
        <v>3</v>
      </c>
      <c r="D12" s="221"/>
      <c r="E12" s="153"/>
    </row>
    <row r="13" spans="2:5">
      <c r="B13" s="163"/>
      <c r="C13" s="153"/>
      <c r="D13" s="162"/>
      <c r="E13" s="153"/>
    </row>
    <row r="14" spans="2:5" ht="15.6">
      <c r="B14" s="152" t="s">
        <v>301</v>
      </c>
      <c r="C14" s="152"/>
      <c r="D14" s="162"/>
      <c r="E14" s="153"/>
    </row>
    <row r="15" spans="2:5" ht="15.6">
      <c r="B15" s="152"/>
      <c r="C15" s="152"/>
      <c r="D15" s="153"/>
      <c r="E15" s="153"/>
    </row>
    <row r="16" spans="2:5" ht="15.6">
      <c r="B16" s="164" t="s">
        <v>197</v>
      </c>
      <c r="C16" s="165"/>
      <c r="D16" s="165"/>
      <c r="E16" s="153"/>
    </row>
    <row r="17" spans="1:5">
      <c r="B17" s="153"/>
      <c r="C17" s="153"/>
      <c r="D17" s="153"/>
      <c r="E17" s="153"/>
    </row>
    <row r="18" spans="1:5" ht="15.6">
      <c r="B18" s="152" t="s">
        <v>53</v>
      </c>
      <c r="C18" s="152"/>
      <c r="D18" s="152"/>
      <c r="E18" s="153"/>
    </row>
    <row r="19" spans="1:5" ht="15.6">
      <c r="B19" s="152"/>
      <c r="C19" s="153"/>
      <c r="D19" s="153"/>
      <c r="E19" s="153"/>
    </row>
    <row r="20" spans="1:5" ht="15.6">
      <c r="B20" s="164" t="s">
        <v>197</v>
      </c>
      <c r="C20" s="165"/>
      <c r="D20" s="165"/>
      <c r="E20" s="153"/>
    </row>
    <row r="21" spans="1:5" ht="15.6">
      <c r="B21" s="166"/>
      <c r="C21" s="165"/>
      <c r="D21" s="165"/>
      <c r="E21" s="153"/>
    </row>
    <row r="22" spans="1:5" s="204" customFormat="1" ht="30.75" customHeight="1">
      <c r="B22" s="205" t="s">
        <v>647</v>
      </c>
      <c r="C22" s="205"/>
    </row>
    <row r="23" spans="1:5" s="204" customFormat="1" ht="15.6">
      <c r="B23" s="205"/>
      <c r="C23" s="205"/>
    </row>
    <row r="24" spans="1:5" s="204" customFormat="1" ht="15.6">
      <c r="B24" s="80"/>
    </row>
    <row r="25" spans="1:5" s="204" customFormat="1" ht="15.6">
      <c r="B25" s="12"/>
    </row>
    <row r="26" spans="1:5" s="204" customFormat="1" ht="16" customHeight="1">
      <c r="B26" s="80"/>
    </row>
    <row r="27" spans="1:5" s="204" customFormat="1" ht="16" customHeight="1">
      <c r="B27" s="12"/>
    </row>
    <row r="28" spans="1:5" s="204" customFormat="1" ht="15.6">
      <c r="B28" s="80"/>
    </row>
    <row r="29" spans="1:5" s="204" customFormat="1" ht="15.6">
      <c r="B29" s="12"/>
    </row>
    <row r="30" spans="1:5" s="204" customFormat="1" ht="15.6">
      <c r="B30" s="80"/>
    </row>
    <row r="31" spans="1:5" s="204" customFormat="1" ht="15.6">
      <c r="B31" s="12"/>
    </row>
    <row r="32" spans="1:5" s="204" customFormat="1" ht="15.6">
      <c r="A32" s="206"/>
      <c r="B32" s="207"/>
    </row>
    <row r="33" spans="1:2" s="204" customFormat="1" ht="15.6">
      <c r="A33" s="206"/>
      <c r="B33" s="207"/>
    </row>
    <row r="34" spans="1:2" s="204" customFormat="1" ht="15.6">
      <c r="A34" s="206"/>
      <c r="B34" s="206"/>
    </row>
    <row r="35" spans="1:2" s="204" customFormat="1" ht="15.6"/>
    <row r="36" spans="1:2" s="204" customFormat="1" ht="15.6"/>
    <row r="37" spans="1:2" s="204" customFormat="1" ht="15.6"/>
    <row r="38" spans="1:2" s="204" customFormat="1" ht="15.6"/>
    <row r="39" spans="1:2" s="204" customFormat="1" ht="15.6"/>
    <row r="40" spans="1:2" s="204" customFormat="1" ht="15.6"/>
    <row r="41" spans="1:2" s="204" customFormat="1" ht="15.6">
      <c r="A41" s="206"/>
      <c r="B41" s="207"/>
    </row>
    <row r="42" spans="1:2" s="204" customFormat="1" ht="15.6">
      <c r="A42" s="206"/>
      <c r="B42" s="207"/>
    </row>
    <row r="43" spans="1:2" s="204" customFormat="1" ht="15.6">
      <c r="A43" s="206"/>
      <c r="B43" s="207"/>
    </row>
    <row r="44" spans="1:2" s="204" customFormat="1" ht="15.6">
      <c r="A44" s="206"/>
      <c r="B44" s="207"/>
    </row>
    <row r="45" spans="1:2" s="204" customFormat="1" ht="15.6">
      <c r="A45" s="206"/>
      <c r="B45" s="207"/>
    </row>
  </sheetData>
  <mergeCells count="1">
    <mergeCell ref="C1:E1"/>
  </mergeCells>
  <hyperlinks>
    <hyperlink ref="C1" location="'Advanced METT questions+scores'!A1" display="Back to 'Advanced METT questions and scores'" xr:uid="{A33D8E8A-ACD6-427A-87FE-6C7A38481E37}"/>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6257" r:id="rId3" name="Check Box 1">
              <controlPr locked="0" defaultSize="0" autoFill="0" autoLine="0" autoPict="0">
                <anchor moveWithCells="1">
                  <from>
                    <xdr:col>1</xdr:col>
                    <xdr:colOff>2686050</xdr:colOff>
                    <xdr:row>2</xdr:row>
                    <xdr:rowOff>11430</xdr:rowOff>
                  </from>
                  <to>
                    <xdr:col>1</xdr:col>
                    <xdr:colOff>2990850</xdr:colOff>
                    <xdr:row>3</xdr:row>
                    <xdr:rowOff>30480</xdr:rowOff>
                  </to>
                </anchor>
              </controlPr>
            </control>
          </mc:Choice>
        </mc:AlternateContent>
        <mc:AlternateContent xmlns:mc="http://schemas.openxmlformats.org/markup-compatibility/2006">
          <mc:Choice Requires="x14">
            <control shapeId="96258"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96259"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96260"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96261"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96262"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96263"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96264"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96265"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1"/>
  <dimension ref="A1:E45"/>
  <sheetViews>
    <sheetView showGridLines="0" workbookViewId="0">
      <selection activeCell="D9" sqref="D9"/>
    </sheetView>
  </sheetViews>
  <sheetFormatPr defaultColWidth="16.59765625" defaultRowHeight="15.6"/>
  <cols>
    <col min="2" max="2" width="106.84765625" customWidth="1"/>
    <col min="3" max="3" width="19.59765625" customWidth="1"/>
    <col min="4" max="4" width="20.59765625" customWidth="1"/>
  </cols>
  <sheetData>
    <row r="1" spans="1:5" ht="21" customHeight="1">
      <c r="B1" s="51" t="s">
        <v>105</v>
      </c>
      <c r="C1" s="253" t="s">
        <v>173</v>
      </c>
      <c r="D1" s="253"/>
      <c r="E1" s="253"/>
    </row>
    <row r="2" spans="1:5">
      <c r="B2" t="s">
        <v>293</v>
      </c>
    </row>
    <row r="4" spans="1:5" ht="16" customHeight="1">
      <c r="B4" s="88" t="s">
        <v>207</v>
      </c>
      <c r="C4" s="88"/>
      <c r="D4" s="88"/>
    </row>
    <row r="5" spans="1:5" ht="16" customHeight="1">
      <c r="B5" s="88"/>
    </row>
    <row r="6" spans="1:5" ht="243" customHeight="1">
      <c r="B6" s="81" t="s">
        <v>218</v>
      </c>
      <c r="C6" s="86"/>
      <c r="D6" s="86"/>
    </row>
    <row r="7" spans="1:5" ht="33" customHeight="1">
      <c r="B7" s="88"/>
    </row>
    <row r="8" spans="1:5" ht="40.15" customHeight="1">
      <c r="B8" s="83" t="s">
        <v>198</v>
      </c>
      <c r="C8" s="83" t="s">
        <v>296</v>
      </c>
      <c r="D8" s="79" t="s">
        <v>212</v>
      </c>
    </row>
    <row r="9" spans="1:5" ht="31.5" customHeight="1">
      <c r="B9" s="120" t="s">
        <v>106</v>
      </c>
      <c r="C9" s="212">
        <v>0</v>
      </c>
      <c r="D9" s="212"/>
    </row>
    <row r="10" spans="1:5" ht="25.5" customHeight="1">
      <c r="B10" s="24" t="s">
        <v>107</v>
      </c>
      <c r="C10" s="214">
        <v>1</v>
      </c>
      <c r="D10" s="215"/>
    </row>
    <row r="11" spans="1:5" ht="27.75" customHeight="1">
      <c r="B11" s="120" t="s">
        <v>206</v>
      </c>
      <c r="C11" s="212">
        <v>2</v>
      </c>
      <c r="D11" s="215"/>
    </row>
    <row r="12" spans="1:5" ht="32.25" customHeight="1">
      <c r="B12" s="24" t="s">
        <v>108</v>
      </c>
      <c r="C12" s="214">
        <v>3</v>
      </c>
      <c r="D12" s="215"/>
    </row>
    <row r="13" spans="1:5" ht="16" customHeight="1">
      <c r="B13" s="1"/>
      <c r="D13" s="73"/>
    </row>
    <row r="14" spans="1:5" s="1" customFormat="1" ht="16" customHeight="1">
      <c r="A14" s="204"/>
      <c r="B14" s="83" t="s">
        <v>283</v>
      </c>
      <c r="C14" s="82"/>
    </row>
    <row r="15" spans="1:5" s="1" customFormat="1">
      <c r="A15" s="204"/>
      <c r="B15" s="82"/>
      <c r="C15" s="82"/>
    </row>
    <row r="16" spans="1:5" s="1" customFormat="1" ht="63" customHeight="1">
      <c r="A16" s="204"/>
      <c r="B16" s="90" t="s">
        <v>197</v>
      </c>
      <c r="C16" s="84"/>
      <c r="D16" s="84"/>
    </row>
    <row r="17" spans="1:4" s="1" customFormat="1">
      <c r="A17" s="204"/>
    </row>
    <row r="18" spans="1:4" s="1" customFormat="1" ht="16" customHeight="1">
      <c r="A18" s="204"/>
      <c r="B18" s="82" t="s">
        <v>53</v>
      </c>
      <c r="C18" s="82"/>
      <c r="D18" s="82"/>
    </row>
    <row r="19" spans="1:4" s="1" customFormat="1">
      <c r="A19" s="204"/>
      <c r="B19" s="82"/>
    </row>
    <row r="20" spans="1:4" s="1" customFormat="1" ht="64" customHeight="1">
      <c r="A20" s="204"/>
      <c r="B20" s="90" t="s">
        <v>197</v>
      </c>
      <c r="C20" s="84"/>
      <c r="D20" s="84"/>
    </row>
    <row r="21" spans="1:4" s="1" customFormat="1">
      <c r="A21" s="20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2200-000000000000}"/>
  </hyperlinks>
  <pageMargins left="0.7" right="0.7" top="0.75" bottom="0.75" header="0.3" footer="0.3"/>
  <pageSetup paperSize="9" scale="90" orientation="portrait" horizontalDpi="0" verticalDpi="0"/>
  <rowBreaks count="1" manualBreakCount="1">
    <brk id="21"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83969" r:id="rId3" name="Check Box 1">
              <controlPr locked="0" defaultSize="0" autoFill="0" autoLine="0" autoPict="0">
                <anchor moveWithCells="1">
                  <from>
                    <xdr:col>1</xdr:col>
                    <xdr:colOff>2609850</xdr:colOff>
                    <xdr:row>1</xdr:row>
                    <xdr:rowOff>11430</xdr:rowOff>
                  </from>
                  <to>
                    <xdr:col>1</xdr:col>
                    <xdr:colOff>2914650</xdr:colOff>
                    <xdr:row>2</xdr:row>
                    <xdr:rowOff>30480</xdr:rowOff>
                  </to>
                </anchor>
              </controlPr>
            </control>
          </mc:Choice>
        </mc:AlternateContent>
        <mc:AlternateContent xmlns:mc="http://schemas.openxmlformats.org/markup-compatibility/2006">
          <mc:Choice Requires="x14">
            <control shapeId="83970"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83971"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83972"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83973"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83974"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83975"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83976"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83977"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1FA38-EEB5-4BF6-8430-BD9A346CC884}">
  <sheetPr codeName="Sheet42"/>
  <dimension ref="A1:E45"/>
  <sheetViews>
    <sheetView showGridLines="0" workbookViewId="0">
      <selection activeCell="D9" sqref="D9"/>
    </sheetView>
  </sheetViews>
  <sheetFormatPr defaultColWidth="16.59765625" defaultRowHeight="15.6"/>
  <cols>
    <col min="2" max="2" width="106.84765625" customWidth="1"/>
    <col min="3" max="3" width="19.59765625" customWidth="1"/>
    <col min="4" max="4" width="20.59765625" customWidth="1"/>
  </cols>
  <sheetData>
    <row r="1" spans="1:5" ht="21" customHeight="1">
      <c r="B1" s="51" t="s">
        <v>223</v>
      </c>
      <c r="C1" s="253" t="s">
        <v>173</v>
      </c>
      <c r="D1" s="253"/>
      <c r="E1" s="253"/>
    </row>
    <row r="2" spans="1:5">
      <c r="B2" t="s">
        <v>293</v>
      </c>
    </row>
    <row r="4" spans="1:5" ht="16" customHeight="1">
      <c r="B4" s="88" t="s">
        <v>224</v>
      </c>
      <c r="C4" s="88"/>
      <c r="D4" s="88"/>
    </row>
    <row r="5" spans="1:5" ht="16" customHeight="1">
      <c r="B5" s="88"/>
    </row>
    <row r="6" spans="1:5" ht="137.5" customHeight="1">
      <c r="B6" s="81" t="s">
        <v>229</v>
      </c>
      <c r="C6" s="86"/>
      <c r="D6" s="86"/>
    </row>
    <row r="7" spans="1:5" ht="33" customHeight="1">
      <c r="B7" s="88"/>
    </row>
    <row r="8" spans="1:5" ht="37.5" customHeight="1">
      <c r="B8" s="83" t="s">
        <v>198</v>
      </c>
      <c r="C8" s="83" t="s">
        <v>296</v>
      </c>
      <c r="D8" s="79" t="s">
        <v>212</v>
      </c>
    </row>
    <row r="9" spans="1:5" ht="32.25" customHeight="1">
      <c r="B9" s="80" t="s">
        <v>225</v>
      </c>
      <c r="C9" s="212">
        <v>0</v>
      </c>
      <c r="D9" s="212"/>
    </row>
    <row r="10" spans="1:5" ht="34" customHeight="1">
      <c r="B10" s="107" t="s">
        <v>226</v>
      </c>
      <c r="C10" s="214">
        <v>1</v>
      </c>
      <c r="D10" s="215"/>
    </row>
    <row r="11" spans="1:5" ht="32.5" customHeight="1">
      <c r="B11" s="108" t="s">
        <v>227</v>
      </c>
      <c r="C11" s="212">
        <v>2</v>
      </c>
      <c r="D11" s="215"/>
    </row>
    <row r="12" spans="1:5" ht="30" customHeight="1">
      <c r="B12" s="107" t="s">
        <v>228</v>
      </c>
      <c r="C12" s="214">
        <v>3</v>
      </c>
      <c r="D12" s="215"/>
    </row>
    <row r="13" spans="1:5" ht="16" customHeight="1">
      <c r="B13" s="1"/>
      <c r="D13" s="73"/>
    </row>
    <row r="14" spans="1:5" s="1" customFormat="1" ht="16" customHeight="1">
      <c r="A14" s="204"/>
      <c r="B14" s="83" t="s">
        <v>283</v>
      </c>
      <c r="C14" s="82"/>
    </row>
    <row r="15" spans="1:5" s="1" customFormat="1">
      <c r="A15" s="204"/>
      <c r="B15" s="82"/>
      <c r="C15" s="82"/>
    </row>
    <row r="16" spans="1:5" s="1" customFormat="1" ht="63" customHeight="1">
      <c r="A16" s="204"/>
      <c r="B16" s="90" t="s">
        <v>197</v>
      </c>
      <c r="C16" s="84"/>
      <c r="D16" s="84"/>
    </row>
    <row r="17" spans="1:4" s="1" customFormat="1">
      <c r="A17" s="204"/>
    </row>
    <row r="18" spans="1:4" s="1" customFormat="1" ht="16" customHeight="1">
      <c r="A18" s="204"/>
      <c r="B18" s="82" t="s">
        <v>53</v>
      </c>
      <c r="C18" s="82"/>
      <c r="D18" s="82"/>
    </row>
    <row r="19" spans="1:4" s="1" customFormat="1">
      <c r="A19" s="204"/>
      <c r="B19" s="82"/>
    </row>
    <row r="20" spans="1:4" s="1" customFormat="1" ht="64" customHeight="1">
      <c r="A20" s="204"/>
      <c r="B20" s="90" t="s">
        <v>197</v>
      </c>
      <c r="C20" s="84"/>
      <c r="D20" s="84"/>
    </row>
    <row r="21" spans="1:4" s="1" customFormat="1">
      <c r="A21" s="20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hyperlinks>
    <hyperlink ref="C1" location="'Advanced METT questions+scores'!A1" display="Back to 'Advanced METT questions and scores'" xr:uid="{07C71B74-4EBB-4069-A792-B3741669E27D}"/>
  </hyperlinks>
  <pageMargins left="0.7" right="0.7" top="0.75" bottom="0.75" header="0.3" footer="0.3"/>
  <pageSetup paperSize="9" scale="90" orientation="portrait" horizontalDpi="1200" verticalDpi="1200" r:id="rId1"/>
  <rowBreaks count="1" manualBreakCount="1">
    <brk id="2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4993" r:id="rId4" name="Check Box 1">
              <controlPr locked="0" defaultSize="0" autoFill="0" autoLine="0" autoPict="0">
                <anchor moveWithCells="1">
                  <from>
                    <xdr:col>1</xdr:col>
                    <xdr:colOff>2754630</xdr:colOff>
                    <xdr:row>1</xdr:row>
                    <xdr:rowOff>0</xdr:rowOff>
                  </from>
                  <to>
                    <xdr:col>1</xdr:col>
                    <xdr:colOff>3059430</xdr:colOff>
                    <xdr:row>2</xdr:row>
                    <xdr:rowOff>19050</xdr:rowOff>
                  </to>
                </anchor>
              </controlPr>
            </control>
          </mc:Choice>
        </mc:AlternateContent>
        <mc:AlternateContent xmlns:mc="http://schemas.openxmlformats.org/markup-compatibility/2006">
          <mc:Choice Requires="x14">
            <control shapeId="84994" r:id="rId5"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84995" r:id="rId6"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84996" r:id="rId7"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84997" r:id="rId8"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84998" r:id="rId9"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84999" r:id="rId10"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85000" r:id="rId11"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85001" r:id="rId12"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3"/>
  <dimension ref="A1:E45"/>
  <sheetViews>
    <sheetView showGridLines="0" topLeftCell="A4" zoomScale="87" workbookViewId="0">
      <selection activeCell="D9" sqref="D9"/>
    </sheetView>
  </sheetViews>
  <sheetFormatPr defaultColWidth="16.59765625" defaultRowHeight="15.6"/>
  <cols>
    <col min="2" max="2" width="106.84765625" customWidth="1"/>
    <col min="3" max="3" width="17.59765625" customWidth="1"/>
    <col min="4" max="4" width="24.34765625" customWidth="1"/>
  </cols>
  <sheetData>
    <row r="1" spans="1:5" ht="21" customHeight="1">
      <c r="B1" s="51" t="s">
        <v>97</v>
      </c>
      <c r="C1" s="253" t="s">
        <v>173</v>
      </c>
      <c r="D1" s="253"/>
      <c r="E1" s="253"/>
    </row>
    <row r="2" spans="1:5">
      <c r="B2" t="s">
        <v>293</v>
      </c>
    </row>
    <row r="4" spans="1:5" ht="16" customHeight="1">
      <c r="B4" s="83" t="s">
        <v>332</v>
      </c>
      <c r="C4" s="88"/>
      <c r="D4" s="88"/>
    </row>
    <row r="5" spans="1:5" ht="16" customHeight="1">
      <c r="B5" s="88"/>
      <c r="C5" s="88"/>
      <c r="D5" s="88"/>
    </row>
    <row r="6" spans="1:5" ht="54" customHeight="1">
      <c r="B6" s="81" t="s">
        <v>288</v>
      </c>
      <c r="C6" s="86"/>
      <c r="D6" s="86"/>
    </row>
    <row r="7" spans="1:5" ht="16" customHeight="1">
      <c r="B7" s="88"/>
    </row>
    <row r="8" spans="1:5" ht="41.65" customHeight="1">
      <c r="B8" s="83" t="s">
        <v>198</v>
      </c>
      <c r="C8" s="83" t="s">
        <v>296</v>
      </c>
      <c r="D8" s="79" t="s">
        <v>212</v>
      </c>
    </row>
    <row r="9" spans="1:5" ht="36.75" customHeight="1">
      <c r="B9" s="80" t="s">
        <v>289</v>
      </c>
      <c r="C9" s="212">
        <v>0</v>
      </c>
      <c r="D9" s="212"/>
    </row>
    <row r="10" spans="1:5" ht="34.5" customHeight="1">
      <c r="B10" s="12" t="s">
        <v>290</v>
      </c>
      <c r="C10" s="214">
        <v>1</v>
      </c>
      <c r="D10" s="215"/>
    </row>
    <row r="11" spans="1:5" ht="37.5" customHeight="1">
      <c r="B11" s="80" t="s">
        <v>291</v>
      </c>
      <c r="C11" s="212">
        <v>2</v>
      </c>
      <c r="D11" s="215"/>
    </row>
    <row r="12" spans="1:5" ht="34.5" customHeight="1">
      <c r="B12" s="12" t="s">
        <v>292</v>
      </c>
      <c r="C12" s="214">
        <v>3</v>
      </c>
      <c r="D12" s="215"/>
    </row>
    <row r="13" spans="1:5" ht="20.25" customHeight="1">
      <c r="B13" s="1"/>
      <c r="D13" s="73"/>
    </row>
    <row r="14" spans="1:5" s="1" customFormat="1" ht="16" customHeight="1">
      <c r="A14" s="204"/>
      <c r="B14" s="82" t="s">
        <v>283</v>
      </c>
      <c r="C14" s="82"/>
    </row>
    <row r="15" spans="1:5" s="1" customFormat="1">
      <c r="A15" s="204"/>
      <c r="B15" s="82"/>
      <c r="C15" s="82"/>
    </row>
    <row r="16" spans="1:5" s="1" customFormat="1" ht="64" customHeight="1">
      <c r="A16" s="204"/>
      <c r="B16" s="90" t="s">
        <v>197</v>
      </c>
      <c r="C16" s="84"/>
      <c r="D16" s="84"/>
    </row>
    <row r="17" spans="1:4" s="1" customFormat="1">
      <c r="A17" s="204"/>
    </row>
    <row r="18" spans="1:4" s="1" customFormat="1" ht="16" customHeight="1">
      <c r="A18" s="204"/>
      <c r="B18" s="82" t="s">
        <v>53</v>
      </c>
      <c r="C18" s="82"/>
      <c r="D18" s="82"/>
    </row>
    <row r="19" spans="1:4" s="1" customFormat="1">
      <c r="A19" s="204"/>
      <c r="B19" s="82"/>
    </row>
    <row r="20" spans="1:4" s="1" customFormat="1" ht="64" customHeight="1">
      <c r="A20" s="204"/>
      <c r="B20" s="90" t="s">
        <v>197</v>
      </c>
      <c r="C20" s="84"/>
      <c r="D20" s="84"/>
    </row>
    <row r="21" spans="1:4" s="1" customFormat="1">
      <c r="A21" s="20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2600-000000000000}"/>
  </hyperlink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Check Box 1">
              <controlPr locked="0" defaultSize="0" autoFill="0" autoLine="0" autoPict="0">
                <anchor moveWithCells="1">
                  <from>
                    <xdr:col>1</xdr:col>
                    <xdr:colOff>2564130</xdr:colOff>
                    <xdr:row>0</xdr:row>
                    <xdr:rowOff>240030</xdr:rowOff>
                  </from>
                  <to>
                    <xdr:col>1</xdr:col>
                    <xdr:colOff>2907030</xdr:colOff>
                    <xdr:row>2</xdr:row>
                    <xdr:rowOff>0</xdr:rowOff>
                  </to>
                </anchor>
              </controlPr>
            </control>
          </mc:Choice>
        </mc:AlternateContent>
        <mc:AlternateContent xmlns:mc="http://schemas.openxmlformats.org/markup-compatibility/2006">
          <mc:Choice Requires="x14">
            <control shapeId="86018" r:id="rId5"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86019" r:id="rId6"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86020" r:id="rId7"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86021" r:id="rId8"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86022" r:id="rId9"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86023" r:id="rId10"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86024" r:id="rId11"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86025" r:id="rId12"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E45"/>
  <sheetViews>
    <sheetView showGridLines="0" topLeftCell="A7" workbookViewId="0">
      <selection activeCell="B12" sqref="B12"/>
    </sheetView>
  </sheetViews>
  <sheetFormatPr defaultColWidth="16.59765625" defaultRowHeight="15.6"/>
  <cols>
    <col min="1" max="1" width="16.59765625" style="204"/>
    <col min="2" max="2" width="106.84765625" style="1" customWidth="1"/>
    <col min="3" max="3" width="17.59765625" style="1" customWidth="1"/>
    <col min="4" max="4" width="24.34765625" style="1" customWidth="1"/>
    <col min="5" max="16384" width="16.59765625" style="1"/>
  </cols>
  <sheetData>
    <row r="1" spans="2:5" s="85" customFormat="1" ht="21" customHeight="1">
      <c r="B1" s="85" t="s">
        <v>620</v>
      </c>
      <c r="C1" s="253" t="s">
        <v>173</v>
      </c>
      <c r="D1" s="253"/>
      <c r="E1" s="253"/>
    </row>
    <row r="2" spans="2:5">
      <c r="B2" s="148" t="s">
        <v>293</v>
      </c>
    </row>
    <row r="3" spans="2:5">
      <c r="B3" s="82"/>
    </row>
    <row r="4" spans="2:5" ht="16" customHeight="1">
      <c r="B4" s="82" t="s">
        <v>133</v>
      </c>
      <c r="C4" s="82"/>
      <c r="D4" s="82"/>
    </row>
    <row r="5" spans="2:5">
      <c r="B5" s="82"/>
    </row>
    <row r="6" spans="2:5" ht="263.10000000000002" customHeight="1">
      <c r="B6" s="81" t="s">
        <v>203</v>
      </c>
      <c r="C6" s="86"/>
      <c r="D6" s="86"/>
    </row>
    <row r="7" spans="2:5">
      <c r="B7" s="82"/>
    </row>
    <row r="8" spans="2:5" s="3" customFormat="1" ht="40.15" customHeight="1">
      <c r="B8" s="83" t="s">
        <v>198</v>
      </c>
      <c r="C8" s="83" t="s">
        <v>296</v>
      </c>
      <c r="D8" s="79" t="s">
        <v>212</v>
      </c>
    </row>
    <row r="9" spans="2:5" ht="31.5" customHeight="1">
      <c r="B9" s="101" t="s">
        <v>653</v>
      </c>
      <c r="C9" s="212">
        <v>0</v>
      </c>
      <c r="D9" s="213"/>
    </row>
    <row r="10" spans="2:5" ht="26.25" customHeight="1">
      <c r="B10" s="89" t="s">
        <v>654</v>
      </c>
      <c r="C10" s="214">
        <v>1</v>
      </c>
      <c r="D10" s="215"/>
    </row>
    <row r="11" spans="2:5" ht="30.75" customHeight="1">
      <c r="B11" s="101" t="s">
        <v>655</v>
      </c>
      <c r="C11" s="212">
        <v>2</v>
      </c>
      <c r="D11" s="215"/>
    </row>
    <row r="12" spans="2:5" ht="29.25" customHeight="1">
      <c r="B12" s="89" t="s">
        <v>656</v>
      </c>
      <c r="C12" s="214">
        <v>3</v>
      </c>
      <c r="D12" s="215"/>
    </row>
    <row r="13" spans="2:5">
      <c r="B13" s="6"/>
      <c r="D13" s="73"/>
    </row>
    <row r="14" spans="2:5" ht="16" customHeight="1">
      <c r="B14" s="83" t="s">
        <v>283</v>
      </c>
      <c r="C14" s="82"/>
    </row>
    <row r="15" spans="2:5">
      <c r="B15" s="82"/>
      <c r="C15" s="82"/>
    </row>
    <row r="16" spans="2:5" ht="64" customHeight="1">
      <c r="B16" s="90" t="s">
        <v>197</v>
      </c>
      <c r="C16" s="84"/>
      <c r="D16" s="84"/>
    </row>
    <row r="18" spans="1:4" ht="16" customHeight="1">
      <c r="B18" s="82" t="s">
        <v>53</v>
      </c>
      <c r="C18" s="82"/>
      <c r="D18" s="82"/>
    </row>
    <row r="19" spans="1:4">
      <c r="B19" s="82"/>
    </row>
    <row r="20" spans="1:4" ht="64" customHeight="1">
      <c r="B20" s="90" t="s">
        <v>197</v>
      </c>
      <c r="C20" s="84"/>
      <c r="D20" s="84"/>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phoneticPr fontId="17" type="noConversion"/>
  <hyperlinks>
    <hyperlink ref="C1" location="'Advanced METT questions+scores'!A1" display="Back to 'Advanced METT questions and scores'" xr:uid="{00000000-0004-0000-2B00-000000000000}"/>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87041" r:id="rId3" name="Check Box 1">
              <controlPr locked="0" defaultSize="0" autoFill="0" autoLine="0" autoPict="0">
                <anchor moveWithCells="1">
                  <from>
                    <xdr:col>1</xdr:col>
                    <xdr:colOff>2640330</xdr:colOff>
                    <xdr:row>1</xdr:row>
                    <xdr:rowOff>0</xdr:rowOff>
                  </from>
                  <to>
                    <xdr:col>1</xdr:col>
                    <xdr:colOff>2945130</xdr:colOff>
                    <xdr:row>2</xdr:row>
                    <xdr:rowOff>19050</xdr:rowOff>
                  </to>
                </anchor>
              </controlPr>
            </control>
          </mc:Choice>
        </mc:AlternateContent>
        <mc:AlternateContent xmlns:mc="http://schemas.openxmlformats.org/markup-compatibility/2006">
          <mc:Choice Requires="x14">
            <control shapeId="87042"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87043"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87044"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87045"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87046"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87047"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87048"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87049"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pageSetUpPr fitToPage="1"/>
  </sheetPr>
  <dimension ref="B1:V29"/>
  <sheetViews>
    <sheetView showGridLines="0" topLeftCell="A19" workbookViewId="0"/>
  </sheetViews>
  <sheetFormatPr defaultColWidth="16.59765625" defaultRowHeight="15.6"/>
  <cols>
    <col min="2" max="2" width="19.09765625" customWidth="1"/>
    <col min="21" max="21" width="18.09765625" bestFit="1" customWidth="1"/>
    <col min="22" max="22" width="19.84765625" bestFit="1" customWidth="1"/>
  </cols>
  <sheetData>
    <row r="1" spans="2:19" ht="20.399999999999999">
      <c r="B1" s="51" t="s">
        <v>180</v>
      </c>
      <c r="P1" s="255" t="s">
        <v>173</v>
      </c>
      <c r="Q1" s="255"/>
      <c r="R1" s="255"/>
      <c r="S1" s="255"/>
    </row>
    <row r="3" spans="2:19">
      <c r="B3" t="s">
        <v>181</v>
      </c>
    </row>
    <row r="5" spans="2:19">
      <c r="B5" s="52" t="s">
        <v>182</v>
      </c>
    </row>
    <row r="7" spans="2:19" ht="32.1" customHeight="1">
      <c r="B7" s="265" t="s">
        <v>183</v>
      </c>
      <c r="C7" s="265"/>
      <c r="D7" s="265"/>
      <c r="E7" s="265"/>
      <c r="F7" s="265"/>
      <c r="G7" s="265"/>
      <c r="H7" s="265"/>
      <c r="I7" s="265"/>
    </row>
    <row r="8" spans="2:19">
      <c r="B8" t="s">
        <v>148</v>
      </c>
    </row>
    <row r="9" spans="2:19">
      <c r="B9" t="s">
        <v>149</v>
      </c>
    </row>
    <row r="10" spans="2:19">
      <c r="B10" t="s">
        <v>150</v>
      </c>
    </row>
    <row r="11" spans="2:19">
      <c r="B11" t="s">
        <v>151</v>
      </c>
    </row>
    <row r="12" spans="2:19">
      <c r="B12" t="s">
        <v>152</v>
      </c>
    </row>
    <row r="13" spans="2:19">
      <c r="B13" t="s">
        <v>153</v>
      </c>
    </row>
    <row r="15" spans="2:19">
      <c r="B15" s="52" t="s">
        <v>188</v>
      </c>
    </row>
    <row r="17" spans="2:22">
      <c r="B17" s="52" t="s">
        <v>191</v>
      </c>
    </row>
    <row r="19" spans="2:22">
      <c r="B19" s="52" t="s">
        <v>192</v>
      </c>
    </row>
    <row r="20" spans="2:22" ht="15.9" thickBot="1"/>
    <row r="21" spans="2:22">
      <c r="B21" s="259" t="s">
        <v>154</v>
      </c>
      <c r="C21" s="266" t="s">
        <v>155</v>
      </c>
      <c r="D21" s="267"/>
      <c r="E21" s="268"/>
      <c r="F21" s="266" t="s">
        <v>158</v>
      </c>
      <c r="G21" s="267"/>
      <c r="H21" s="264"/>
      <c r="I21" s="269" t="s">
        <v>159</v>
      </c>
      <c r="J21" s="267"/>
      <c r="K21" s="268"/>
      <c r="L21" s="266" t="s">
        <v>160</v>
      </c>
      <c r="M21" s="267"/>
      <c r="N21" s="268"/>
      <c r="O21" s="266" t="s">
        <v>161</v>
      </c>
      <c r="P21" s="267"/>
      <c r="Q21" s="268"/>
      <c r="R21" s="266" t="s">
        <v>162</v>
      </c>
      <c r="S21" s="267"/>
      <c r="T21" s="268"/>
      <c r="U21" s="259" t="s">
        <v>130</v>
      </c>
      <c r="V21" s="259" t="s">
        <v>131</v>
      </c>
    </row>
    <row r="22" spans="2:22">
      <c r="B22" s="260"/>
      <c r="C22" s="56" t="s">
        <v>129</v>
      </c>
      <c r="D22" s="57" t="s">
        <v>156</v>
      </c>
      <c r="E22" s="58" t="s">
        <v>157</v>
      </c>
      <c r="F22" s="56" t="s">
        <v>129</v>
      </c>
      <c r="G22" s="57" t="s">
        <v>156</v>
      </c>
      <c r="H22" s="58" t="s">
        <v>157</v>
      </c>
      <c r="I22" s="56" t="s">
        <v>129</v>
      </c>
      <c r="J22" s="57" t="s">
        <v>156</v>
      </c>
      <c r="K22" s="58" t="s">
        <v>157</v>
      </c>
      <c r="L22" s="56" t="s">
        <v>129</v>
      </c>
      <c r="M22" s="57" t="s">
        <v>156</v>
      </c>
      <c r="N22" s="58" t="s">
        <v>157</v>
      </c>
      <c r="O22" s="56" t="s">
        <v>129</v>
      </c>
      <c r="P22" s="57" t="s">
        <v>156</v>
      </c>
      <c r="Q22" s="58" t="s">
        <v>157</v>
      </c>
      <c r="R22" s="56" t="s">
        <v>129</v>
      </c>
      <c r="S22" s="57" t="s">
        <v>156</v>
      </c>
      <c r="T22" s="58" t="s">
        <v>157</v>
      </c>
      <c r="U22" s="260"/>
      <c r="V22" s="260"/>
    </row>
    <row r="23" spans="2:22">
      <c r="B23" s="92"/>
      <c r="C23" s="93"/>
      <c r="D23" s="91"/>
      <c r="E23" s="94"/>
      <c r="F23" s="93"/>
      <c r="G23" s="91"/>
      <c r="H23" s="94"/>
      <c r="I23" s="93"/>
      <c r="J23" s="91"/>
      <c r="K23" s="94"/>
      <c r="L23" s="93"/>
      <c r="M23" s="91"/>
      <c r="N23" s="94"/>
      <c r="O23" s="93"/>
      <c r="P23" s="91"/>
      <c r="Q23" s="94"/>
      <c r="R23" s="93"/>
      <c r="S23" s="91"/>
      <c r="T23" s="94"/>
      <c r="U23" s="92"/>
      <c r="V23" s="92"/>
    </row>
    <row r="24" spans="2:22">
      <c r="B24" s="55"/>
      <c r="C24" s="53"/>
      <c r="D24" s="7"/>
      <c r="E24" s="54"/>
      <c r="F24" s="53"/>
      <c r="G24" s="7"/>
      <c r="H24" s="54"/>
      <c r="I24" s="53"/>
      <c r="J24" s="7"/>
      <c r="K24" s="54"/>
      <c r="L24" s="53"/>
      <c r="M24" s="7"/>
      <c r="N24" s="54"/>
      <c r="O24" s="53"/>
      <c r="P24" s="7"/>
      <c r="Q24" s="54"/>
      <c r="R24" s="53"/>
      <c r="S24" s="7"/>
      <c r="T24" s="54"/>
      <c r="U24" s="55"/>
      <c r="V24" s="55"/>
    </row>
    <row r="25" spans="2:22">
      <c r="B25" s="92"/>
      <c r="C25" s="93"/>
      <c r="D25" s="91"/>
      <c r="E25" s="94"/>
      <c r="F25" s="93"/>
      <c r="G25" s="91"/>
      <c r="H25" s="94"/>
      <c r="I25" s="93"/>
      <c r="J25" s="91"/>
      <c r="K25" s="94"/>
      <c r="L25" s="93"/>
      <c r="M25" s="91"/>
      <c r="N25" s="94"/>
      <c r="O25" s="93"/>
      <c r="P25" s="91"/>
      <c r="Q25" s="94"/>
      <c r="R25" s="93"/>
      <c r="S25" s="91"/>
      <c r="T25" s="94"/>
      <c r="U25" s="92"/>
      <c r="V25" s="92"/>
    </row>
    <row r="26" spans="2:22">
      <c r="B26" s="55"/>
      <c r="C26" s="53"/>
      <c r="D26" s="7"/>
      <c r="E26" s="54"/>
      <c r="F26" s="53"/>
      <c r="G26" s="7"/>
      <c r="H26" s="54"/>
      <c r="I26" s="53"/>
      <c r="J26" s="7"/>
      <c r="K26" s="54"/>
      <c r="L26" s="53"/>
      <c r="M26" s="7"/>
      <c r="N26" s="54"/>
      <c r="O26" s="53"/>
      <c r="P26" s="7"/>
      <c r="Q26" s="54"/>
      <c r="R26" s="53"/>
      <c r="S26" s="7"/>
      <c r="T26" s="54"/>
      <c r="U26" s="55"/>
      <c r="V26" s="55"/>
    </row>
    <row r="27" spans="2:22" ht="15.9" thickBot="1">
      <c r="B27" s="100"/>
      <c r="C27" s="96"/>
      <c r="D27" s="97"/>
      <c r="E27" s="98"/>
      <c r="F27" s="96"/>
      <c r="G27" s="97"/>
      <c r="H27" s="98"/>
      <c r="I27" s="96"/>
      <c r="J27" s="97"/>
      <c r="K27" s="98"/>
      <c r="L27" s="96"/>
      <c r="M27" s="97"/>
      <c r="N27" s="98"/>
      <c r="O27" s="96"/>
      <c r="P27" s="97"/>
      <c r="Q27" s="98"/>
      <c r="R27" s="96"/>
      <c r="S27" s="97"/>
      <c r="T27" s="98"/>
      <c r="U27" s="100"/>
      <c r="V27" s="100"/>
    </row>
    <row r="29" spans="2:22" ht="32.1" customHeight="1">
      <c r="B29" s="257" t="s">
        <v>204</v>
      </c>
      <c r="C29" s="257"/>
      <c r="D29" s="257"/>
      <c r="E29" s="257"/>
      <c r="F29" s="257"/>
      <c r="G29" s="257"/>
      <c r="H29" s="257"/>
      <c r="I29" s="257"/>
      <c r="J29" s="257"/>
      <c r="K29" s="257"/>
      <c r="L29" s="257"/>
      <c r="M29" s="257"/>
      <c r="N29" s="257"/>
      <c r="O29" s="257"/>
      <c r="P29" s="257"/>
      <c r="Q29" s="257"/>
      <c r="R29" s="257"/>
      <c r="S29" s="257"/>
      <c r="T29" s="257"/>
      <c r="U29" s="257"/>
      <c r="V29" s="257"/>
    </row>
  </sheetData>
  <mergeCells count="12">
    <mergeCell ref="P1:S1"/>
    <mergeCell ref="B29:V29"/>
    <mergeCell ref="U21:U22"/>
    <mergeCell ref="V21:V22"/>
    <mergeCell ref="B7:I7"/>
    <mergeCell ref="C21:E21"/>
    <mergeCell ref="F21:H21"/>
    <mergeCell ref="I21:K21"/>
    <mergeCell ref="L21:N21"/>
    <mergeCell ref="O21:Q21"/>
    <mergeCell ref="R21:T21"/>
    <mergeCell ref="B21:B22"/>
  </mergeCells>
  <phoneticPr fontId="17" type="noConversion"/>
  <hyperlinks>
    <hyperlink ref="P1" location="'Advanced METT questions+scores'!A1" display="Back to 'Advanced METT questions and scores'" xr:uid="{00000000-0004-0000-2C00-000000000000}"/>
  </hyperlinks>
  <pageMargins left="0.7" right="0.7" top="0.75" bottom="0.75" header="0.3" footer="0.3"/>
  <pageSetup paperSize="9" scale="48" orientation="landscape" horizontalDpi="0" verticalDpi="0"/>
  <colBreaks count="1" manualBreakCount="1">
    <brk id="23" max="1048575" man="1"/>
  </colBreak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dimension ref="A1:E45"/>
  <sheetViews>
    <sheetView showGridLines="0" topLeftCell="A7" workbookViewId="0">
      <selection activeCell="B12" sqref="B12"/>
    </sheetView>
  </sheetViews>
  <sheetFormatPr defaultColWidth="16.59765625" defaultRowHeight="15.6"/>
  <cols>
    <col min="1" max="1" width="16.59765625" style="204"/>
    <col min="2" max="2" width="106.84765625" style="1" customWidth="1"/>
    <col min="3" max="3" width="17.59765625" style="1" customWidth="1"/>
    <col min="4" max="4" width="24.84765625" style="1" customWidth="1"/>
    <col min="5" max="16384" width="16.59765625" style="1"/>
  </cols>
  <sheetData>
    <row r="1" spans="2:5" s="85" customFormat="1" ht="21" customHeight="1">
      <c r="B1" s="85" t="s">
        <v>193</v>
      </c>
      <c r="C1" s="253" t="s">
        <v>173</v>
      </c>
      <c r="D1" s="253"/>
      <c r="E1" s="253"/>
    </row>
    <row r="2" spans="2:5">
      <c r="B2" s="148" t="s">
        <v>293</v>
      </c>
    </row>
    <row r="3" spans="2:5">
      <c r="B3" s="82"/>
    </row>
    <row r="4" spans="2:5" ht="16" customHeight="1">
      <c r="B4" s="82" t="s">
        <v>194</v>
      </c>
      <c r="C4" s="82"/>
      <c r="D4" s="82"/>
    </row>
    <row r="5" spans="2:5">
      <c r="B5" s="82"/>
    </row>
    <row r="6" spans="2:5" ht="117" customHeight="1">
      <c r="B6" s="81" t="s">
        <v>195</v>
      </c>
      <c r="C6" s="86"/>
      <c r="D6" s="86"/>
    </row>
    <row r="7" spans="2:5">
      <c r="B7" s="82"/>
    </row>
    <row r="8" spans="2:5" s="3" customFormat="1" ht="40.15" customHeight="1">
      <c r="B8" s="83" t="s">
        <v>198</v>
      </c>
      <c r="C8" s="83" t="s">
        <v>296</v>
      </c>
      <c r="D8" s="79" t="s">
        <v>212</v>
      </c>
    </row>
    <row r="9" spans="2:5" ht="30.75" customHeight="1">
      <c r="B9" s="101" t="s">
        <v>649</v>
      </c>
      <c r="C9" s="212">
        <v>0</v>
      </c>
      <c r="D9" s="212"/>
    </row>
    <row r="10" spans="2:5" ht="29.25" customHeight="1">
      <c r="B10" s="89" t="s">
        <v>650</v>
      </c>
      <c r="C10" s="214">
        <v>1</v>
      </c>
      <c r="D10" s="215"/>
    </row>
    <row r="11" spans="2:5" ht="32.25" customHeight="1">
      <c r="B11" s="101" t="s">
        <v>651</v>
      </c>
      <c r="C11" s="212">
        <v>2</v>
      </c>
      <c r="D11" s="215"/>
    </row>
    <row r="12" spans="2:5" ht="36" customHeight="1">
      <c r="B12" s="89" t="s">
        <v>652</v>
      </c>
      <c r="C12" s="214">
        <v>3</v>
      </c>
      <c r="D12" s="215"/>
    </row>
    <row r="13" spans="2:5">
      <c r="B13" s="6"/>
      <c r="D13" s="73"/>
    </row>
    <row r="14" spans="2:5" ht="16" customHeight="1">
      <c r="B14" s="82" t="s">
        <v>283</v>
      </c>
      <c r="C14" s="82"/>
    </row>
    <row r="15" spans="2:5">
      <c r="B15" s="82"/>
      <c r="C15" s="82"/>
    </row>
    <row r="16" spans="2:5" ht="64" customHeight="1">
      <c r="B16" s="90" t="s">
        <v>197</v>
      </c>
      <c r="C16" s="84"/>
      <c r="D16" s="84"/>
    </row>
    <row r="18" spans="1:4" ht="16" customHeight="1">
      <c r="B18" s="82" t="s">
        <v>53</v>
      </c>
      <c r="C18" s="82"/>
      <c r="D18" s="82"/>
    </row>
    <row r="19" spans="1:4">
      <c r="B19" s="82"/>
    </row>
    <row r="20" spans="1:4" ht="64" customHeight="1">
      <c r="B20" s="90" t="s">
        <v>197</v>
      </c>
      <c r="C20" s="84"/>
      <c r="D20" s="84"/>
    </row>
    <row r="21" spans="1:4">
      <c r="B21" s="71"/>
      <c r="C21" s="84"/>
      <c r="D21" s="84"/>
    </row>
    <row r="22" spans="1:4" s="204" customFormat="1" ht="30.75" customHeight="1">
      <c r="B22" s="205" t="s">
        <v>647</v>
      </c>
      <c r="C22" s="205"/>
    </row>
    <row r="23" spans="1:4" s="204" customFormat="1">
      <c r="B23" s="205"/>
      <c r="C23" s="205"/>
    </row>
    <row r="24" spans="1:4" s="204" customFormat="1">
      <c r="B24" s="80"/>
    </row>
    <row r="25" spans="1:4" s="204" customFormat="1">
      <c r="B25" s="12"/>
    </row>
    <row r="26" spans="1:4" s="204" customFormat="1" ht="16" customHeight="1">
      <c r="B26" s="80"/>
    </row>
    <row r="27" spans="1:4" s="204" customFormat="1" ht="16" customHeight="1">
      <c r="B27" s="12"/>
    </row>
    <row r="28" spans="1:4" s="204" customFormat="1">
      <c r="B28" s="80"/>
    </row>
    <row r="29" spans="1:4" s="204" customFormat="1">
      <c r="B29" s="12"/>
    </row>
    <row r="30" spans="1:4" s="204" customFormat="1">
      <c r="B30" s="80"/>
    </row>
    <row r="31" spans="1:4" s="204" customFormat="1">
      <c r="B31" s="12"/>
    </row>
    <row r="32" spans="1:4" s="204" customFormat="1">
      <c r="A32" s="206"/>
      <c r="B32" s="207"/>
    </row>
    <row r="33" spans="1:2" s="204" customFormat="1">
      <c r="A33" s="206"/>
      <c r="B33" s="207"/>
    </row>
    <row r="34" spans="1:2" s="204" customFormat="1">
      <c r="A34" s="206"/>
      <c r="B34" s="206"/>
    </row>
    <row r="35" spans="1:2" s="204" customFormat="1"/>
    <row r="36" spans="1:2" s="204" customFormat="1"/>
    <row r="37" spans="1:2" s="204" customFormat="1"/>
    <row r="38" spans="1:2" s="204" customFormat="1"/>
    <row r="39" spans="1:2" s="204" customFormat="1"/>
    <row r="40" spans="1:2" s="204" customFormat="1"/>
    <row r="41" spans="1:2" s="204" customFormat="1">
      <c r="A41" s="206"/>
      <c r="B41" s="207"/>
    </row>
    <row r="42" spans="1:2" s="204" customFormat="1">
      <c r="A42" s="206"/>
      <c r="B42" s="207"/>
    </row>
    <row r="43" spans="1:2" s="204" customFormat="1">
      <c r="A43" s="206"/>
      <c r="B43" s="207"/>
    </row>
    <row r="44" spans="1:2" s="204" customFormat="1">
      <c r="A44" s="206"/>
      <c r="B44" s="207"/>
    </row>
    <row r="45" spans="1:2" s="204" customFormat="1">
      <c r="A45" s="206"/>
      <c r="B45" s="207"/>
    </row>
  </sheetData>
  <mergeCells count="1">
    <mergeCell ref="C1:E1"/>
  </mergeCells>
  <hyperlinks>
    <hyperlink ref="C1" location="'Advanced METT questions+scores'!A1" display="Back to 'Advanced METT questions and scores'" xr:uid="{00000000-0004-0000-2D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Check Box 1">
              <controlPr locked="0" defaultSize="0" autoFill="0" autoLine="0" autoPict="0">
                <anchor moveWithCells="1">
                  <from>
                    <xdr:col>1</xdr:col>
                    <xdr:colOff>2849880</xdr:colOff>
                    <xdr:row>0</xdr:row>
                    <xdr:rowOff>259080</xdr:rowOff>
                  </from>
                  <to>
                    <xdr:col>1</xdr:col>
                    <xdr:colOff>3154680</xdr:colOff>
                    <xdr:row>2</xdr:row>
                    <xdr:rowOff>11430</xdr:rowOff>
                  </to>
                </anchor>
              </controlPr>
            </control>
          </mc:Choice>
        </mc:AlternateContent>
        <mc:AlternateContent xmlns:mc="http://schemas.openxmlformats.org/markup-compatibility/2006">
          <mc:Choice Requires="x14">
            <control shapeId="89090" r:id="rId4" name="Check Box 2">
              <controlPr defaultSize="0" autoFill="0" autoLine="0" autoPict="0">
                <anchor moveWithCells="1">
                  <from>
                    <xdr:col>0</xdr:col>
                    <xdr:colOff>0</xdr:colOff>
                    <xdr:row>22</xdr:row>
                    <xdr:rowOff>190500</xdr:rowOff>
                  </from>
                  <to>
                    <xdr:col>0</xdr:col>
                    <xdr:colOff>963930</xdr:colOff>
                    <xdr:row>24</xdr:row>
                    <xdr:rowOff>0</xdr:rowOff>
                  </to>
                </anchor>
              </controlPr>
            </control>
          </mc:Choice>
        </mc:AlternateContent>
        <mc:AlternateContent xmlns:mc="http://schemas.openxmlformats.org/markup-compatibility/2006">
          <mc:Choice Requires="x14">
            <control shapeId="89091" r:id="rId5" name="Check Box 3">
              <controlPr defaultSize="0" autoFill="0" autoLine="0" autoPict="0">
                <anchor moveWithCells="1">
                  <from>
                    <xdr:col>0</xdr:col>
                    <xdr:colOff>0</xdr:colOff>
                    <xdr:row>23</xdr:row>
                    <xdr:rowOff>182880</xdr:rowOff>
                  </from>
                  <to>
                    <xdr:col>0</xdr:col>
                    <xdr:colOff>906780</xdr:colOff>
                    <xdr:row>25</xdr:row>
                    <xdr:rowOff>0</xdr:rowOff>
                  </to>
                </anchor>
              </controlPr>
            </control>
          </mc:Choice>
        </mc:AlternateContent>
        <mc:AlternateContent xmlns:mc="http://schemas.openxmlformats.org/markup-compatibility/2006">
          <mc:Choice Requires="x14">
            <control shapeId="89092" r:id="rId6" name="Check Box 4">
              <controlPr defaultSize="0" autoFill="0" autoLine="0" autoPict="0">
                <anchor moveWithCells="1">
                  <from>
                    <xdr:col>0</xdr:col>
                    <xdr:colOff>0</xdr:colOff>
                    <xdr:row>25</xdr:row>
                    <xdr:rowOff>0</xdr:rowOff>
                  </from>
                  <to>
                    <xdr:col>1</xdr:col>
                    <xdr:colOff>392430</xdr:colOff>
                    <xdr:row>26</xdr:row>
                    <xdr:rowOff>0</xdr:rowOff>
                  </to>
                </anchor>
              </controlPr>
            </control>
          </mc:Choice>
        </mc:AlternateContent>
        <mc:AlternateContent xmlns:mc="http://schemas.openxmlformats.org/markup-compatibility/2006">
          <mc:Choice Requires="x14">
            <control shapeId="89093" r:id="rId7" name="Check Box 5">
              <controlPr defaultSize="0" autoFill="0" autoLine="0" autoPict="0">
                <anchor moveWithCells="1">
                  <from>
                    <xdr:col>0</xdr:col>
                    <xdr:colOff>0</xdr:colOff>
                    <xdr:row>26</xdr:row>
                    <xdr:rowOff>11430</xdr:rowOff>
                  </from>
                  <to>
                    <xdr:col>0</xdr:col>
                    <xdr:colOff>800100</xdr:colOff>
                    <xdr:row>27</xdr:row>
                    <xdr:rowOff>19050</xdr:rowOff>
                  </to>
                </anchor>
              </controlPr>
            </control>
          </mc:Choice>
        </mc:AlternateContent>
        <mc:AlternateContent xmlns:mc="http://schemas.openxmlformats.org/markup-compatibility/2006">
          <mc:Choice Requires="x14">
            <control shapeId="89094" r:id="rId8" name="Check Box 6">
              <controlPr defaultSize="0" autoFill="0" autoLine="0" autoPict="0">
                <anchor moveWithCells="1">
                  <from>
                    <xdr:col>0</xdr:col>
                    <xdr:colOff>0</xdr:colOff>
                    <xdr:row>27</xdr:row>
                    <xdr:rowOff>11430</xdr:rowOff>
                  </from>
                  <to>
                    <xdr:col>0</xdr:col>
                    <xdr:colOff>800100</xdr:colOff>
                    <xdr:row>28</xdr:row>
                    <xdr:rowOff>19050</xdr:rowOff>
                  </to>
                </anchor>
              </controlPr>
            </control>
          </mc:Choice>
        </mc:AlternateContent>
        <mc:AlternateContent xmlns:mc="http://schemas.openxmlformats.org/markup-compatibility/2006">
          <mc:Choice Requires="x14">
            <control shapeId="89095" r:id="rId9" name="Check Box 7">
              <controlPr defaultSize="0" autoFill="0" autoLine="0" autoPict="0">
                <anchor moveWithCells="1">
                  <from>
                    <xdr:col>0</xdr:col>
                    <xdr:colOff>0</xdr:colOff>
                    <xdr:row>27</xdr:row>
                    <xdr:rowOff>201930</xdr:rowOff>
                  </from>
                  <to>
                    <xdr:col>0</xdr:col>
                    <xdr:colOff>1097280</xdr:colOff>
                    <xdr:row>29</xdr:row>
                    <xdr:rowOff>19050</xdr:rowOff>
                  </to>
                </anchor>
              </controlPr>
            </control>
          </mc:Choice>
        </mc:AlternateContent>
        <mc:AlternateContent xmlns:mc="http://schemas.openxmlformats.org/markup-compatibility/2006">
          <mc:Choice Requires="x14">
            <control shapeId="89096" r:id="rId10" name="Check Box 8">
              <controlPr defaultSize="0" autoFill="0" autoLine="0" autoPict="0">
                <anchor moveWithCells="1">
                  <from>
                    <xdr:col>0</xdr:col>
                    <xdr:colOff>0</xdr:colOff>
                    <xdr:row>29</xdr:row>
                    <xdr:rowOff>0</xdr:rowOff>
                  </from>
                  <to>
                    <xdr:col>0</xdr:col>
                    <xdr:colOff>1123950</xdr:colOff>
                    <xdr:row>30</xdr:row>
                    <xdr:rowOff>11430</xdr:rowOff>
                  </to>
                </anchor>
              </controlPr>
            </control>
          </mc:Choice>
        </mc:AlternateContent>
        <mc:AlternateContent xmlns:mc="http://schemas.openxmlformats.org/markup-compatibility/2006">
          <mc:Choice Requires="x14">
            <control shapeId="89097" r:id="rId11" name="Check Box 9">
              <controlPr defaultSize="0" autoFill="0" autoLine="0" autoPict="0">
                <anchor moveWithCells="1">
                  <from>
                    <xdr:col>0</xdr:col>
                    <xdr:colOff>0</xdr:colOff>
                    <xdr:row>30</xdr:row>
                    <xdr:rowOff>0</xdr:rowOff>
                  </from>
                  <to>
                    <xdr:col>0</xdr:col>
                    <xdr:colOff>857250</xdr:colOff>
                    <xdr:row>31</xdr:row>
                    <xdr:rowOff>11430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dimension ref="B1:V27"/>
  <sheetViews>
    <sheetView showGridLines="0" workbookViewId="0"/>
  </sheetViews>
  <sheetFormatPr defaultColWidth="16.59765625" defaultRowHeight="15.6"/>
  <cols>
    <col min="2" max="2" width="19.09765625" customWidth="1"/>
    <col min="21" max="21" width="18.09765625" bestFit="1" customWidth="1"/>
    <col min="22" max="22" width="19.84765625" bestFit="1" customWidth="1"/>
  </cols>
  <sheetData>
    <row r="1" spans="2:18" ht="20.399999999999999">
      <c r="B1" s="51" t="s">
        <v>184</v>
      </c>
      <c r="O1" s="255" t="s">
        <v>173</v>
      </c>
      <c r="P1" s="255"/>
      <c r="Q1" s="255"/>
      <c r="R1" s="255"/>
    </row>
    <row r="3" spans="2:18">
      <c r="B3" t="s">
        <v>185</v>
      </c>
    </row>
    <row r="5" spans="2:18">
      <c r="B5" s="52" t="s">
        <v>186</v>
      </c>
    </row>
    <row r="7" spans="2:18">
      <c r="B7" s="52" t="s">
        <v>187</v>
      </c>
    </row>
    <row r="8" spans="2:18">
      <c r="B8" s="65" t="s">
        <v>163</v>
      </c>
    </row>
    <row r="9" spans="2:18">
      <c r="B9" s="65" t="s">
        <v>164</v>
      </c>
    </row>
    <row r="10" spans="2:18">
      <c r="B10" s="65" t="s">
        <v>165</v>
      </c>
    </row>
    <row r="11" spans="2:18">
      <c r="B11" s="65" t="s">
        <v>166</v>
      </c>
    </row>
    <row r="13" spans="2:18">
      <c r="B13" s="52" t="s">
        <v>188</v>
      </c>
    </row>
    <row r="15" spans="2:18">
      <c r="B15" s="52" t="s">
        <v>189</v>
      </c>
    </row>
    <row r="17" spans="2:22">
      <c r="B17" s="52" t="s">
        <v>169</v>
      </c>
    </row>
    <row r="18" spans="2:22" ht="15.9" thickBot="1"/>
    <row r="19" spans="2:22">
      <c r="B19" s="259" t="s">
        <v>190</v>
      </c>
      <c r="C19" s="266" t="s">
        <v>155</v>
      </c>
      <c r="D19" s="267"/>
      <c r="E19" s="268"/>
      <c r="F19" s="266" t="s">
        <v>170</v>
      </c>
      <c r="G19" s="267"/>
      <c r="H19" s="264"/>
      <c r="I19" s="269" t="s">
        <v>167</v>
      </c>
      <c r="J19" s="267"/>
      <c r="K19" s="268"/>
      <c r="L19" s="266" t="s">
        <v>168</v>
      </c>
      <c r="M19" s="267"/>
      <c r="N19" s="267"/>
      <c r="O19" s="274" t="s">
        <v>130</v>
      </c>
      <c r="P19" s="275"/>
      <c r="Q19" s="274" t="s">
        <v>217</v>
      </c>
      <c r="R19" s="275"/>
    </row>
    <row r="20" spans="2:22">
      <c r="B20" s="260"/>
      <c r="C20" s="56" t="s">
        <v>129</v>
      </c>
      <c r="D20" s="57" t="s">
        <v>156</v>
      </c>
      <c r="E20" s="58" t="s">
        <v>157</v>
      </c>
      <c r="F20" s="56" t="s">
        <v>129</v>
      </c>
      <c r="G20" s="57" t="s">
        <v>156</v>
      </c>
      <c r="H20" s="58" t="s">
        <v>157</v>
      </c>
      <c r="I20" s="56" t="s">
        <v>129</v>
      </c>
      <c r="J20" s="57" t="s">
        <v>156</v>
      </c>
      <c r="K20" s="58" t="s">
        <v>157</v>
      </c>
      <c r="L20" s="56" t="s">
        <v>129</v>
      </c>
      <c r="M20" s="57" t="s">
        <v>156</v>
      </c>
      <c r="N20" s="66" t="s">
        <v>157</v>
      </c>
      <c r="O20" s="276"/>
      <c r="P20" s="277"/>
      <c r="Q20" s="276"/>
      <c r="R20" s="277"/>
    </row>
    <row r="21" spans="2:22">
      <c r="B21" s="92"/>
      <c r="C21" s="93"/>
      <c r="D21" s="91"/>
      <c r="E21" s="94"/>
      <c r="F21" s="93"/>
      <c r="G21" s="91"/>
      <c r="H21" s="94"/>
      <c r="I21" s="93"/>
      <c r="J21" s="91"/>
      <c r="K21" s="94"/>
      <c r="L21" s="93"/>
      <c r="M21" s="91"/>
      <c r="N21" s="102"/>
      <c r="O21" s="272"/>
      <c r="P21" s="273"/>
      <c r="Q21" s="272"/>
      <c r="R21" s="273"/>
    </row>
    <row r="22" spans="2:22">
      <c r="B22" s="55"/>
      <c r="C22" s="53"/>
      <c r="D22" s="7"/>
      <c r="E22" s="54"/>
      <c r="F22" s="53"/>
      <c r="G22" s="7"/>
      <c r="H22" s="54"/>
      <c r="I22" s="53"/>
      <c r="J22" s="7"/>
      <c r="K22" s="54"/>
      <c r="L22" s="53"/>
      <c r="M22" s="7"/>
      <c r="N22" s="67"/>
      <c r="O22" s="270"/>
      <c r="P22" s="271"/>
      <c r="Q22" s="270"/>
      <c r="R22" s="271"/>
    </row>
    <row r="23" spans="2:22">
      <c r="B23" s="92"/>
      <c r="C23" s="93"/>
      <c r="D23" s="91"/>
      <c r="E23" s="94"/>
      <c r="F23" s="93"/>
      <c r="G23" s="91"/>
      <c r="H23" s="94"/>
      <c r="I23" s="93"/>
      <c r="J23" s="91"/>
      <c r="K23" s="94"/>
      <c r="L23" s="93"/>
      <c r="M23" s="91"/>
      <c r="N23" s="102"/>
      <c r="O23" s="272"/>
      <c r="P23" s="273"/>
      <c r="Q23" s="272"/>
      <c r="R23" s="273"/>
    </row>
    <row r="24" spans="2:22">
      <c r="B24" s="55"/>
      <c r="C24" s="53"/>
      <c r="D24" s="7"/>
      <c r="E24" s="54"/>
      <c r="F24" s="53"/>
      <c r="G24" s="7"/>
      <c r="H24" s="54"/>
      <c r="I24" s="53"/>
      <c r="J24" s="7"/>
      <c r="K24" s="54"/>
      <c r="L24" s="53"/>
      <c r="M24" s="7"/>
      <c r="N24" s="67"/>
      <c r="O24" s="270"/>
      <c r="P24" s="271"/>
      <c r="Q24" s="270"/>
      <c r="R24" s="271"/>
    </row>
    <row r="25" spans="2:22" ht="15.9" thickBot="1">
      <c r="B25" s="100"/>
      <c r="C25" s="96"/>
      <c r="D25" s="97"/>
      <c r="E25" s="98"/>
      <c r="F25" s="96"/>
      <c r="G25" s="97"/>
      <c r="H25" s="98"/>
      <c r="I25" s="96"/>
      <c r="J25" s="97"/>
      <c r="K25" s="98"/>
      <c r="L25" s="96"/>
      <c r="M25" s="97"/>
      <c r="N25" s="103"/>
      <c r="O25" s="278"/>
      <c r="P25" s="279"/>
      <c r="Q25" s="278"/>
      <c r="R25" s="279"/>
    </row>
    <row r="27" spans="2:22" ht="32.1" customHeight="1">
      <c r="B27" s="257" t="s">
        <v>204</v>
      </c>
      <c r="C27" s="257"/>
      <c r="D27" s="257"/>
      <c r="E27" s="257"/>
      <c r="F27" s="257"/>
      <c r="G27" s="257"/>
      <c r="H27" s="257"/>
      <c r="I27" s="257"/>
      <c r="J27" s="257"/>
      <c r="K27" s="257"/>
      <c r="L27" s="257"/>
      <c r="M27" s="257"/>
      <c r="N27" s="257"/>
      <c r="O27" s="257"/>
      <c r="P27" s="257"/>
      <c r="Q27" s="257"/>
      <c r="R27" s="257"/>
      <c r="S27" s="257"/>
      <c r="T27" s="257"/>
      <c r="U27" s="257"/>
      <c r="V27" s="257"/>
    </row>
  </sheetData>
  <mergeCells count="19">
    <mergeCell ref="B27:V27"/>
    <mergeCell ref="B19:B20"/>
    <mergeCell ref="C19:E19"/>
    <mergeCell ref="F19:H19"/>
    <mergeCell ref="I19:K19"/>
    <mergeCell ref="L19:N19"/>
    <mergeCell ref="O24:P24"/>
    <mergeCell ref="Q24:R24"/>
    <mergeCell ref="O25:P25"/>
    <mergeCell ref="Q25:R25"/>
    <mergeCell ref="Q19:R20"/>
    <mergeCell ref="O21:P21"/>
    <mergeCell ref="Q21:R21"/>
    <mergeCell ref="O22:P22"/>
    <mergeCell ref="O1:R1"/>
    <mergeCell ref="Q22:R22"/>
    <mergeCell ref="O23:P23"/>
    <mergeCell ref="Q23:R23"/>
    <mergeCell ref="O19:P20"/>
  </mergeCells>
  <hyperlinks>
    <hyperlink ref="O1" location="'Advanced METT questions+scores'!A1" display="Back to 'Advanced METT questions and scores'" xr:uid="{00000000-0004-0000-2E00-000000000000}"/>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47"/>
  <sheetViews>
    <sheetView showGridLines="0" workbookViewId="0">
      <selection activeCell="C10" sqref="C10"/>
    </sheetView>
  </sheetViews>
  <sheetFormatPr defaultColWidth="10.84765625" defaultRowHeight="15.6"/>
  <cols>
    <col min="1" max="1" width="8" style="13" customWidth="1"/>
    <col min="2" max="2" width="71.34765625" style="1" customWidth="1"/>
    <col min="3" max="3" width="23.5" customWidth="1"/>
    <col min="5" max="5" width="17.84765625" bestFit="1" customWidth="1"/>
    <col min="6" max="6" width="27.34765625" bestFit="1" customWidth="1"/>
    <col min="7" max="7" width="12.34765625" bestFit="1" customWidth="1"/>
    <col min="8" max="8" width="57.09765625" customWidth="1"/>
  </cols>
  <sheetData>
    <row r="1" spans="1:8" ht="72" customHeight="1">
      <c r="A1" s="227" t="s">
        <v>621</v>
      </c>
      <c r="B1" s="228"/>
      <c r="C1" s="228"/>
      <c r="D1" s="228"/>
      <c r="E1" s="228"/>
      <c r="F1" s="228"/>
      <c r="G1" s="228"/>
      <c r="H1" s="229"/>
    </row>
    <row r="3" spans="1:8" ht="21" customHeight="1">
      <c r="A3" s="16" t="s">
        <v>209</v>
      </c>
    </row>
    <row r="5" spans="1:8" s="10" customFormat="1" ht="31" customHeight="1">
      <c r="A5" s="8" t="s">
        <v>39</v>
      </c>
      <c r="B5" s="2" t="s">
        <v>1</v>
      </c>
      <c r="C5" s="4" t="s">
        <v>210</v>
      </c>
      <c r="D5" s="9" t="s">
        <v>213</v>
      </c>
      <c r="E5" s="9" t="s">
        <v>214</v>
      </c>
      <c r="F5" s="9" t="s">
        <v>220</v>
      </c>
      <c r="G5" s="9" t="s">
        <v>219</v>
      </c>
      <c r="H5" s="9" t="s">
        <v>215</v>
      </c>
    </row>
    <row r="6" spans="1:8" ht="31.2">
      <c r="A6" s="11">
        <v>1</v>
      </c>
      <c r="B6" s="63" t="s">
        <v>0</v>
      </c>
      <c r="C6" s="12" t="str">
        <f>'1. Legal Status'!B21</f>
        <v>Add text here</v>
      </c>
      <c r="D6" s="7"/>
      <c r="E6" s="7"/>
      <c r="F6" s="7"/>
      <c r="G6" s="7"/>
      <c r="H6" s="7"/>
    </row>
    <row r="7" spans="1:8" ht="31.2">
      <c r="A7" s="11">
        <v>2</v>
      </c>
      <c r="B7" s="63" t="s">
        <v>2</v>
      </c>
      <c r="C7" s="12" t="str">
        <f>'2. Protected area regulations'!B20</f>
        <v>Add text here</v>
      </c>
      <c r="D7" s="7"/>
      <c r="E7" s="7"/>
      <c r="F7" s="7"/>
      <c r="G7" s="7"/>
      <c r="H7" s="7"/>
    </row>
    <row r="8" spans="1:8" ht="31.2">
      <c r="A8" s="11">
        <v>3</v>
      </c>
      <c r="B8" s="63" t="s">
        <v>3</v>
      </c>
      <c r="C8" s="12" t="str">
        <f>'3. Law enforcement'!B20</f>
        <v>Add text here</v>
      </c>
      <c r="D8" s="7"/>
      <c r="E8" s="7"/>
      <c r="F8" s="7"/>
      <c r="G8" s="7"/>
      <c r="H8" s="7"/>
    </row>
    <row r="9" spans="1:8">
      <c r="A9" s="11">
        <v>4</v>
      </c>
      <c r="B9" s="63" t="s">
        <v>4</v>
      </c>
      <c r="C9" s="12" t="str">
        <f>'4. Protected area objectives'!B20</f>
        <v>Add text here</v>
      </c>
      <c r="D9" s="7"/>
      <c r="E9" s="7"/>
      <c r="F9" s="7"/>
      <c r="G9" s="7"/>
      <c r="H9" s="7"/>
    </row>
    <row r="10" spans="1:8" ht="31.2">
      <c r="A10" s="11">
        <v>5</v>
      </c>
      <c r="B10" s="63" t="s">
        <v>5</v>
      </c>
      <c r="C10" s="12" t="str">
        <f>'5. Protected area design'!B20</f>
        <v>Add text here</v>
      </c>
      <c r="D10" s="7"/>
      <c r="E10" s="7"/>
      <c r="F10" s="7"/>
      <c r="G10" s="7"/>
      <c r="H10" s="7"/>
    </row>
    <row r="11" spans="1:8" ht="16" customHeight="1">
      <c r="A11" s="11">
        <v>6</v>
      </c>
      <c r="B11" s="63" t="s">
        <v>7</v>
      </c>
      <c r="C11" s="12" t="str">
        <f>'6. Boundary demarcation'!B20</f>
        <v>Add text here</v>
      </c>
      <c r="D11" s="7"/>
      <c r="E11" s="7"/>
      <c r="F11" s="7"/>
      <c r="G11" s="7"/>
      <c r="H11" s="7"/>
    </row>
    <row r="12" spans="1:8" ht="16" customHeight="1">
      <c r="A12" s="11">
        <v>7</v>
      </c>
      <c r="B12" s="63" t="s">
        <v>8</v>
      </c>
      <c r="C12" s="12" t="str">
        <f>'7. Management plan'!B20</f>
        <v>Add text here</v>
      </c>
      <c r="D12" s="7"/>
      <c r="E12" s="7"/>
      <c r="F12" s="7"/>
      <c r="G12" s="7"/>
      <c r="H12" s="7"/>
    </row>
    <row r="13" spans="1:8">
      <c r="A13" s="11" t="s">
        <v>43</v>
      </c>
      <c r="B13" s="64" t="s">
        <v>136</v>
      </c>
      <c r="C13" s="12" t="str">
        <f>'Additional points on 7.'!B18</f>
        <v>Add text here</v>
      </c>
      <c r="D13" s="7"/>
      <c r="E13" s="7"/>
      <c r="F13" s="7"/>
      <c r="G13" s="7"/>
      <c r="H13" s="7"/>
    </row>
    <row r="14" spans="1:8">
      <c r="A14" s="11">
        <v>8</v>
      </c>
      <c r="B14" s="63" t="s">
        <v>9</v>
      </c>
      <c r="C14" s="12" t="str">
        <f>'8. Regular work plan'!B20</f>
        <v>Add text here</v>
      </c>
      <c r="D14" s="7"/>
      <c r="E14" s="7"/>
      <c r="F14" s="7"/>
      <c r="G14" s="7"/>
      <c r="H14" s="7"/>
    </row>
    <row r="15" spans="1:8">
      <c r="A15" s="11">
        <v>9</v>
      </c>
      <c r="B15" s="63" t="s">
        <v>10</v>
      </c>
      <c r="C15" s="12" t="str">
        <f>'9. Resource inventory'!B20</f>
        <v>Add text here</v>
      </c>
      <c r="D15" s="7"/>
      <c r="E15" s="7"/>
      <c r="F15" s="7"/>
      <c r="G15" s="7"/>
      <c r="H15" s="7"/>
    </row>
    <row r="16" spans="1:8" ht="31.2">
      <c r="A16" s="11">
        <v>10</v>
      </c>
      <c r="B16" s="63" t="s">
        <v>11</v>
      </c>
      <c r="C16" s="12" t="str">
        <f>'10. Protection systems'!B20</f>
        <v>Add text here</v>
      </c>
      <c r="D16" s="7"/>
      <c r="E16" s="7"/>
      <c r="F16" s="7"/>
      <c r="G16" s="7"/>
      <c r="H16" s="7"/>
    </row>
    <row r="17" spans="1:8" ht="16" customHeight="1">
      <c r="A17" s="11">
        <v>11</v>
      </c>
      <c r="B17" s="63" t="s">
        <v>12</v>
      </c>
      <c r="C17" s="12" t="str">
        <f>'11. Research '!B20</f>
        <v>Add text here</v>
      </c>
      <c r="D17" s="7"/>
      <c r="E17" s="7"/>
      <c r="F17" s="7"/>
      <c r="G17" s="7"/>
      <c r="H17" s="7"/>
    </row>
    <row r="18" spans="1:8">
      <c r="A18" s="11">
        <v>12</v>
      </c>
      <c r="B18" s="63" t="s">
        <v>13</v>
      </c>
      <c r="C18" s="12" t="str">
        <f>'12. Resource management '!B20</f>
        <v>Add text here</v>
      </c>
      <c r="D18" s="7"/>
      <c r="E18" s="7"/>
      <c r="F18" s="7"/>
      <c r="G18" s="7"/>
      <c r="H18" s="7"/>
    </row>
    <row r="19" spans="1:8">
      <c r="A19" s="11">
        <v>13</v>
      </c>
      <c r="B19" s="63" t="s">
        <v>14</v>
      </c>
      <c r="C19" s="12" t="str">
        <f>'13. Staff numbers'!B20</f>
        <v>Add text here</v>
      </c>
      <c r="D19" s="7"/>
      <c r="E19" s="7"/>
      <c r="F19" s="7"/>
      <c r="G19" s="7"/>
      <c r="H19" s="7"/>
    </row>
    <row r="20" spans="1:8">
      <c r="A20" s="11">
        <v>14</v>
      </c>
      <c r="B20" s="63" t="s">
        <v>15</v>
      </c>
      <c r="C20" s="12" t="str">
        <f>'14. Staff training'!B20</f>
        <v>Add text here</v>
      </c>
      <c r="D20" s="7"/>
      <c r="E20" s="7"/>
      <c r="F20" s="7"/>
      <c r="G20" s="7"/>
      <c r="H20" s="7"/>
    </row>
    <row r="21" spans="1:8">
      <c r="A21" s="11">
        <v>15</v>
      </c>
      <c r="B21" s="63" t="s">
        <v>16</v>
      </c>
      <c r="C21" s="12" t="str">
        <f>'15. Current budget'!B20</f>
        <v>Add text here</v>
      </c>
      <c r="D21" s="7"/>
      <c r="E21" s="7"/>
      <c r="F21" s="7"/>
      <c r="G21" s="7"/>
      <c r="H21" s="7"/>
    </row>
    <row r="22" spans="1:8">
      <c r="A22" s="11">
        <v>16</v>
      </c>
      <c r="B22" s="63" t="s">
        <v>17</v>
      </c>
      <c r="C22" s="12" t="str">
        <f>'16. Security of budget '!B20</f>
        <v>Add text here</v>
      </c>
      <c r="D22" s="7"/>
      <c r="E22" s="7"/>
      <c r="F22" s="7"/>
      <c r="G22" s="7"/>
      <c r="H22" s="7"/>
    </row>
    <row r="23" spans="1:8">
      <c r="A23" s="11">
        <v>17</v>
      </c>
      <c r="B23" s="63" t="s">
        <v>18</v>
      </c>
      <c r="C23" s="12" t="str">
        <f>'17. Management of budget '!B20</f>
        <v>Add text here</v>
      </c>
      <c r="D23" s="7"/>
      <c r="E23" s="7"/>
      <c r="F23" s="7"/>
      <c r="G23" s="7"/>
      <c r="H23" s="7"/>
    </row>
    <row r="24" spans="1:8">
      <c r="A24" s="11">
        <v>18</v>
      </c>
      <c r="B24" s="63" t="s">
        <v>19</v>
      </c>
      <c r="C24" s="12" t="str">
        <f>'18. Equipment and facilities'!B20</f>
        <v>Add text here</v>
      </c>
      <c r="D24" s="7"/>
      <c r="E24" s="7"/>
      <c r="F24" s="7"/>
      <c r="G24" s="7"/>
      <c r="H24" s="7"/>
    </row>
    <row r="25" spans="1:8">
      <c r="A25" s="11">
        <v>19</v>
      </c>
      <c r="B25" s="63" t="s">
        <v>20</v>
      </c>
      <c r="C25" s="12" t="str">
        <f>'19. Maintaining equip. + facil.'!B20</f>
        <v>Add text here</v>
      </c>
      <c r="D25" s="7"/>
      <c r="E25" s="7"/>
      <c r="F25" s="7"/>
      <c r="G25" s="7"/>
      <c r="H25" s="7"/>
    </row>
    <row r="26" spans="1:8" ht="16" customHeight="1">
      <c r="A26" s="11">
        <v>20</v>
      </c>
      <c r="B26" s="63" t="s">
        <v>21</v>
      </c>
      <c r="C26" s="12" t="str">
        <f>'20. Education and awareness '!B20</f>
        <v>Add text here</v>
      </c>
      <c r="D26" s="7"/>
      <c r="E26" s="7"/>
      <c r="F26" s="7"/>
      <c r="G26" s="7"/>
      <c r="H26" s="7"/>
    </row>
    <row r="27" spans="1:8" ht="31.2">
      <c r="A27" s="11">
        <v>21</v>
      </c>
      <c r="B27" s="63" t="s">
        <v>22</v>
      </c>
      <c r="C27" s="12" t="str">
        <f>'21. Planning for land and water'!B20</f>
        <v>Add text here</v>
      </c>
      <c r="D27" s="7"/>
      <c r="E27" s="7"/>
      <c r="F27" s="7"/>
      <c r="G27" s="7"/>
      <c r="H27" s="7"/>
    </row>
    <row r="28" spans="1:8">
      <c r="A28" s="11" t="s">
        <v>36</v>
      </c>
      <c r="B28" s="64" t="s">
        <v>137</v>
      </c>
      <c r="C28" s="12" t="str">
        <f>'Additional points on 21.'!B17</f>
        <v>Add text here</v>
      </c>
      <c r="D28" s="7"/>
      <c r="E28" s="7"/>
      <c r="F28" s="7"/>
      <c r="G28" s="7"/>
      <c r="H28" s="7"/>
    </row>
    <row r="29" spans="1:8">
      <c r="A29" s="11">
        <v>22</v>
      </c>
      <c r="B29" s="63" t="s">
        <v>24</v>
      </c>
      <c r="C29" s="12" t="str">
        <f>'22. State and commercial neigh.'!B20</f>
        <v>Add text here</v>
      </c>
      <c r="D29" s="7"/>
      <c r="E29" s="7"/>
      <c r="F29" s="7"/>
      <c r="G29" s="7"/>
      <c r="H29" s="7"/>
    </row>
    <row r="30" spans="1:8" ht="31.2">
      <c r="A30" s="11">
        <v>23</v>
      </c>
      <c r="B30" s="63" t="s">
        <v>25</v>
      </c>
      <c r="C30" s="12" t="str">
        <f>'23. Indigenous people'!B20</f>
        <v>Add text here</v>
      </c>
      <c r="D30" s="7"/>
      <c r="E30" s="7"/>
      <c r="F30" s="7"/>
      <c r="G30" s="7"/>
      <c r="H30" s="7"/>
    </row>
    <row r="31" spans="1:8" ht="31.2">
      <c r="A31" s="11">
        <v>24</v>
      </c>
      <c r="B31" s="63" t="s">
        <v>26</v>
      </c>
      <c r="C31" s="12" t="str">
        <f>'24. Local communities '!B20</f>
        <v>Add text here</v>
      </c>
      <c r="D31" s="7"/>
      <c r="E31" s="7"/>
      <c r="F31" s="7"/>
      <c r="G31" s="7"/>
      <c r="H31" s="7"/>
    </row>
    <row r="32" spans="1:8">
      <c r="A32" s="11" t="s">
        <v>37</v>
      </c>
      <c r="B32" s="64" t="s">
        <v>138</v>
      </c>
      <c r="C32" s="12" t="str">
        <f>'Additional points on 24.'!B17</f>
        <v>Add text here</v>
      </c>
      <c r="D32" s="7"/>
      <c r="E32" s="7"/>
      <c r="F32" s="7"/>
      <c r="G32" s="7"/>
      <c r="H32" s="7"/>
    </row>
    <row r="33" spans="1:8" ht="31.2">
      <c r="A33" s="11">
        <v>25</v>
      </c>
      <c r="B33" s="63" t="s">
        <v>27</v>
      </c>
      <c r="C33" s="12" t="str">
        <f>'25. Economic benefit '!B21</f>
        <v>Add text here</v>
      </c>
      <c r="D33" s="7"/>
      <c r="E33" s="7"/>
      <c r="F33" s="7"/>
      <c r="G33" s="7"/>
      <c r="H33" s="7"/>
    </row>
    <row r="34" spans="1:8">
      <c r="A34" s="11">
        <v>26</v>
      </c>
      <c r="B34" s="63" t="s">
        <v>28</v>
      </c>
      <c r="C34" s="12" t="str">
        <f>'26. Monitoring and evaluation '!B20</f>
        <v>Add text here</v>
      </c>
      <c r="D34" s="7"/>
      <c r="E34" s="7"/>
      <c r="F34" s="7"/>
      <c r="G34" s="7"/>
      <c r="H34" s="7"/>
    </row>
    <row r="35" spans="1:8" ht="16" customHeight="1">
      <c r="A35" s="59" t="s">
        <v>134</v>
      </c>
      <c r="B35" s="63" t="s">
        <v>208</v>
      </c>
      <c r="C35" s="12" t="str">
        <f>'32. Climate change'!B20</f>
        <v>Add text here</v>
      </c>
      <c r="D35" s="7"/>
      <c r="E35" s="7"/>
      <c r="F35" s="7"/>
      <c r="G35" s="7"/>
      <c r="H35" s="7"/>
    </row>
    <row r="36" spans="1:8">
      <c r="A36" s="11">
        <v>27</v>
      </c>
      <c r="B36" s="63" t="s">
        <v>29</v>
      </c>
      <c r="C36" s="12" t="str">
        <f>'27. Visitor facilities '!B20</f>
        <v>Add text here</v>
      </c>
      <c r="D36" s="7"/>
      <c r="E36" s="7"/>
      <c r="F36" s="7"/>
      <c r="G36" s="7"/>
      <c r="H36" s="7"/>
    </row>
    <row r="37" spans="1:8">
      <c r="A37" s="11">
        <v>28</v>
      </c>
      <c r="B37" s="63" t="s">
        <v>30</v>
      </c>
      <c r="C37" s="12" t="str">
        <f>'28. Commercial tourism op.'!B20</f>
        <v>Add text here</v>
      </c>
      <c r="D37" s="7"/>
      <c r="E37" s="7"/>
      <c r="F37" s="7"/>
      <c r="G37" s="7"/>
      <c r="H37" s="7"/>
    </row>
    <row r="38" spans="1:8" ht="31.2">
      <c r="A38" s="11">
        <v>29</v>
      </c>
      <c r="B38" s="63" t="s">
        <v>31</v>
      </c>
      <c r="C38" s="12" t="str">
        <f>'29. Fees'!B20</f>
        <v>Add text here</v>
      </c>
      <c r="D38" s="7"/>
      <c r="E38" s="7"/>
      <c r="F38" s="7"/>
      <c r="G38" s="7"/>
      <c r="H38" s="7"/>
    </row>
    <row r="39" spans="1:8" ht="31.2">
      <c r="A39" s="59" t="s">
        <v>134</v>
      </c>
      <c r="B39" s="63" t="s">
        <v>104</v>
      </c>
      <c r="C39" s="12" t="str">
        <f>'34. Threats'!B20</f>
        <v>Add text here</v>
      </c>
      <c r="D39" s="7"/>
      <c r="E39" s="7"/>
      <c r="F39" s="7"/>
      <c r="G39" s="7"/>
      <c r="H39" s="7"/>
    </row>
    <row r="40" spans="1:8" ht="31.2">
      <c r="A40" s="11">
        <v>30</v>
      </c>
      <c r="B40" s="63" t="s">
        <v>32</v>
      </c>
      <c r="C40" s="12" t="str">
        <f>'30. Condition of values'!B20</f>
        <v>Add text here</v>
      </c>
      <c r="D40" s="7"/>
      <c r="E40" s="7"/>
      <c r="F40" s="7"/>
      <c r="G40" s="7"/>
      <c r="H40" s="7"/>
    </row>
    <row r="41" spans="1:8">
      <c r="A41" s="11" t="s">
        <v>38</v>
      </c>
      <c r="B41" s="64" t="s">
        <v>139</v>
      </c>
      <c r="C41" s="12" t="str">
        <f>'Additional points on 30.'!B17</f>
        <v>Add text here</v>
      </c>
      <c r="D41" s="7"/>
      <c r="E41" s="7"/>
      <c r="F41" s="7"/>
      <c r="G41" s="7"/>
      <c r="H41" s="7"/>
    </row>
    <row r="42" spans="1:8">
      <c r="A42" s="11">
        <v>31</v>
      </c>
      <c r="B42" s="64" t="s">
        <v>594</v>
      </c>
      <c r="C42" t="str">
        <f>'31. Staff security'!B20</f>
        <v>Add text here</v>
      </c>
      <c r="D42" s="7"/>
      <c r="E42" s="7"/>
      <c r="F42" s="7"/>
      <c r="G42" s="7"/>
      <c r="H42" s="7"/>
    </row>
    <row r="43" spans="1:8">
      <c r="A43" s="11">
        <v>32</v>
      </c>
      <c r="B43" s="64" t="s">
        <v>105</v>
      </c>
      <c r="C43" s="12" t="str">
        <f>'32. Climate change'!B20</f>
        <v>Add text here</v>
      </c>
      <c r="D43" s="7"/>
      <c r="E43" s="7"/>
      <c r="F43" s="7"/>
      <c r="G43" s="7"/>
      <c r="H43" s="7"/>
    </row>
    <row r="44" spans="1:8">
      <c r="A44" s="11">
        <v>33</v>
      </c>
      <c r="B44" s="64" t="s">
        <v>223</v>
      </c>
      <c r="C44" s="12" t="str">
        <f>'33. Carbon capture'!B20</f>
        <v>Add text here</v>
      </c>
      <c r="D44" s="7"/>
      <c r="E44" s="7"/>
      <c r="F44" s="7"/>
      <c r="G44" s="7"/>
      <c r="H44" s="7"/>
    </row>
    <row r="45" spans="1:8">
      <c r="A45" s="11">
        <v>34</v>
      </c>
      <c r="B45" s="64" t="s">
        <v>303</v>
      </c>
      <c r="C45" s="12" t="str">
        <f>'34. Threats'!B20</f>
        <v>Add text here</v>
      </c>
      <c r="D45" s="7"/>
      <c r="E45" s="7"/>
      <c r="F45" s="7"/>
      <c r="G45" s="7"/>
      <c r="H45" s="7"/>
    </row>
    <row r="46" spans="1:8">
      <c r="A46" s="59">
        <v>35</v>
      </c>
      <c r="B46" s="64" t="s">
        <v>133</v>
      </c>
      <c r="C46" s="12" t="str">
        <f>'35. Conserve status key ind spe'!B20</f>
        <v>Add text here</v>
      </c>
      <c r="D46" s="7"/>
      <c r="E46" s="7"/>
      <c r="F46" s="7"/>
      <c r="G46" s="7"/>
      <c r="H46" s="7"/>
    </row>
    <row r="47" spans="1:8">
      <c r="A47" s="59">
        <v>36</v>
      </c>
      <c r="B47" s="64" t="s">
        <v>194</v>
      </c>
      <c r="C47" s="12" t="str">
        <f>'36.Conservation status habitats'!B20</f>
        <v>Add text here</v>
      </c>
      <c r="D47" s="7"/>
      <c r="E47" s="7"/>
      <c r="F47" s="7"/>
      <c r="G47" s="7"/>
      <c r="H47" s="7"/>
    </row>
  </sheetData>
  <mergeCells count="1">
    <mergeCell ref="A1:H1"/>
  </mergeCells>
  <hyperlinks>
    <hyperlink ref="B6" location="'1. Legal Status'!A1" display="Does the PA have legal status (or in the case of private reserves is covered by a covenant or similar)?" xr:uid="{00000000-0004-0000-0300-000000000000}"/>
    <hyperlink ref="B7" location="'2. Protected area regulations'!A1" display="Are appropriate regulations in place to control land use and activities (such as hunting)?" xr:uid="{00000000-0004-0000-0300-000001000000}"/>
    <hyperlink ref="B8" location="'3. Law enforcement'!A1" display="Can staff enforce protected area rules well enough? (Staff = those with responsibility for managing the site) " xr:uid="{00000000-0004-0000-0300-000002000000}"/>
    <hyperlink ref="B9" location="'4. Protected area objectives'!A1" display="Is management undertaken according to agreed objectives?" xr:uid="{00000000-0004-0000-0300-000003000000}"/>
    <hyperlink ref="B10" location="'5. Protected area design'!A1" display="Is the protected area the right size and shape to protect species, habitats, ecological processes and water catchments of key conservation concern?" xr:uid="{00000000-0004-0000-0300-000004000000}"/>
    <hyperlink ref="B11" location="'6. Boundary demarcation'!A1" display="Is the boundary known and demarcated?" xr:uid="{00000000-0004-0000-0300-000005000000}"/>
    <hyperlink ref="B12" location="'7. Management plan'!A1" display="Is there a management plan and is it being implemented?" xr:uid="{00000000-0004-0000-0300-000006000000}"/>
    <hyperlink ref="B13" location="'Additional points on 7.'!A1" display="Additional points: Planning process" xr:uid="{00000000-0004-0000-0300-000007000000}"/>
    <hyperlink ref="B14" location="'8. Regular work plan'!A1" display="Is there a regular work plan and is it being implemented?" xr:uid="{00000000-0004-0000-0300-000008000000}"/>
    <hyperlink ref="B15" location="'9. Resource inventory'!A1" display="Do you have enough information to manage the area?" xr:uid="{00000000-0004-0000-0300-000009000000}"/>
    <hyperlink ref="B16" location="'10. Access assessment'!A1" display="Is access / resource use sufficiently controlled in accordance with designated objectives?" xr:uid="{00000000-0004-0000-0300-00000A000000}"/>
    <hyperlink ref="B17" location="'11. Research '!A1" display="Is there a programme of management-orientated survey and research work?" xr:uid="{00000000-0004-0000-0300-00000B000000}"/>
    <hyperlink ref="B18" location="'12. Resource management '!A1" display="Is active resource management being undertaken?" xr:uid="{00000000-0004-0000-0300-00000C000000}"/>
    <hyperlink ref="B19" location="'13. Staff numbers'!A1" display="Are there enough people employed to manage the protected area?" xr:uid="{00000000-0004-0000-0300-00000D000000}"/>
    <hyperlink ref="B20" location="'14. Staff training'!A1" display="Are staff adequately trained to fulfil management objectives?" xr:uid="{00000000-0004-0000-0300-00000E000000}"/>
    <hyperlink ref="B21" location="'15. Current budget'!A1" display="Is the current budget sufficient?" xr:uid="{00000000-0004-0000-0300-00000F000000}"/>
    <hyperlink ref="B22" location="'16. Security of budget '!A1" display="Is the budget secure?" xr:uid="{00000000-0004-0000-0300-000010000000}"/>
    <hyperlink ref="B23" location="'17. Management of budget '!A1" display="Is the budget managed to meet critical management needs?" xr:uid="{00000000-0004-0000-0300-000011000000}"/>
    <hyperlink ref="B24" location="'18. Equipment and facilities'!A1" display="Is equipment sufficient for management needs?" xr:uid="{00000000-0004-0000-0300-000012000000}"/>
    <hyperlink ref="B25" location="'19. Maintaining equip. + facil.'!A1" display="Is equipment adequately maintained?" xr:uid="{00000000-0004-0000-0300-000013000000}"/>
    <hyperlink ref="B26" location="'20. Education and awareness '!A1" display="Is there a planned education programme linked to the objectives and needs?" xr:uid="{00000000-0004-0000-0300-000014000000}"/>
    <hyperlink ref="B27" location="'21. Planning for land and water'!A1" display="Does land and water use planning (happening outside the protected area) recognise the protected area and aid the achievement of objectives?" xr:uid="{00000000-0004-0000-0300-000015000000}"/>
    <hyperlink ref="B28" location="'Additional points on 21.'!A1" display="Additional points: Land and water planning " xr:uid="{00000000-0004-0000-0300-000016000000}"/>
    <hyperlink ref="B29" location="'22. State and commercial neigh.'!A1" display="Is there co-operation with adjacent land and water users? " xr:uid="{00000000-0004-0000-0300-000017000000}"/>
    <hyperlink ref="B30" location="'23. Indigenous people'!A1" display="Do indigenous and traditional peoples resident or regularly using the protected area have input to management decisions?" xr:uid="{00000000-0004-0000-0300-000018000000}"/>
    <hyperlink ref="B31" location="'24. Local communities '!A1" display="Do local communities resident or near the protected area have input to management decisions?" xr:uid="{00000000-0004-0000-0300-000019000000}"/>
    <hyperlink ref="B32" location="'24. Local communities '!A1" display="Additional points: Local communities / indigenous people" xr:uid="{00000000-0004-0000-0300-00001A000000}"/>
    <hyperlink ref="B33" location="'25. Economic benefit '!A1" display="Is the protected area providing economic benefits to local communities, e.g. income, employment, payment for environmental services?" xr:uid="{00000000-0004-0000-0300-00001B000000}"/>
    <hyperlink ref="B34" location="'26. Monitoring and evaluation '!A1" display="Are management activities monitored against performance?" xr:uid="{00000000-0004-0000-0300-00001C000000}"/>
    <hyperlink ref="B35" location="'Climate change'!A1" display=" Is the protected area being consciously managed to adapt to climate change?" xr:uid="{00000000-0004-0000-0300-00001D000000}"/>
    <hyperlink ref="B36" location="'27. Visitor facilities '!A1" display="Are visitor facilities adequate?" xr:uid="{00000000-0004-0000-0300-00001E000000}"/>
    <hyperlink ref="B37" location="'28. Commercial tourism op.'!A1" display="Do commercial tour operators contribute to protected area management?" xr:uid="{00000000-0004-0000-0300-00001F000000}"/>
    <hyperlink ref="B38" location="'29. Fees'!A1" display="If fees (such as entry fees or fines) are applied, do they help protected area management?" xr:uid="{00000000-0004-0000-0300-000020000000}"/>
    <hyperlink ref="B39" location="Threats!A1" display="Are the threats to the main values of the protected area identified, classified and adressed? " xr:uid="{00000000-0004-0000-0300-000021000000}"/>
    <hyperlink ref="B40" location="'30. Condition of values'!A1" display="What is the condition of the important values of the protected area as compared to when it was first designated?" xr:uid="{00000000-0004-0000-0300-000022000000}"/>
    <hyperlink ref="B41" location="'30. Condition of values'!A1" display="Additional points: Condition assessment" xr:uid="{00000000-0004-0000-0300-000023000000}"/>
    <hyperlink ref="B46" location="'Conservation status key ind spe'!A1" display="Has the status of key indicator species changed over the last 5 years?" xr:uid="{00000000-0004-0000-0300-000024000000}"/>
    <hyperlink ref="B47" location="'Conservation status habitats'!A1" display="Has the status of habitats changed over the last 5 years?" xr:uid="{00000000-0004-0000-0300-000025000000}"/>
    <hyperlink ref="B42" location="'Ways forward after assessment'!A1" display="Staff security" xr:uid="{CB51F9FD-05C2-4BBB-BC25-51FB16C6A50D}"/>
    <hyperlink ref="B43" location="'Climate change'!A1" display="Climate change" xr:uid="{BC9F58B0-934C-44DE-9B9F-D3306A5D213A}"/>
    <hyperlink ref="B44" location="'Carbon capture'!A1" display="Carbon capture" xr:uid="{40595373-294D-4EA3-BCB5-7BB4E4DF9B17}"/>
    <hyperlink ref="B45" location="Threats!A1" display="Management of threats" xr:uid="{12DC6235-A06B-49B0-B268-CCDF2B572D5F}"/>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49</vt:i4>
      </vt:variant>
    </vt:vector>
  </HeadingPairs>
  <TitlesOfParts>
    <vt:vector size="49" baseType="lpstr">
      <vt:lpstr>Advanced METT introduction</vt:lpstr>
      <vt:lpstr>Data lookups</vt:lpstr>
      <vt:lpstr>Advanced METT questions+scores</vt:lpstr>
      <vt:lpstr>Protected area attributes</vt:lpstr>
      <vt:lpstr>Detailed assessment of threats</vt:lpstr>
      <vt:lpstr>1. Legal Status</vt:lpstr>
      <vt:lpstr>2. Protected area regulations</vt:lpstr>
      <vt:lpstr>3. Law enforcement</vt:lpstr>
      <vt:lpstr>4. Protected area objectives</vt:lpstr>
      <vt:lpstr>5. Protected area design</vt:lpstr>
      <vt:lpstr>6. Boundary demarcation</vt:lpstr>
      <vt:lpstr>7. Management plan</vt:lpstr>
      <vt:lpstr>Additional points on 7.</vt:lpstr>
      <vt:lpstr>8. Regular work plan</vt:lpstr>
      <vt:lpstr>9. Resource inventory</vt:lpstr>
      <vt:lpstr>10. Protection systems</vt:lpstr>
      <vt:lpstr>11. Research </vt:lpstr>
      <vt:lpstr>12. Resource management </vt:lpstr>
      <vt:lpstr>13. Staff numbers</vt:lpstr>
      <vt:lpstr>14. Staff training</vt:lpstr>
      <vt:lpstr>15. Current budget</vt:lpstr>
      <vt:lpstr>16. Security of budget </vt:lpstr>
      <vt:lpstr>17. Management of budget </vt:lpstr>
      <vt:lpstr>18. Equipment and facilities</vt:lpstr>
      <vt:lpstr>19. Maintaining equip. + facil.</vt:lpstr>
      <vt:lpstr>20. Education and awareness </vt:lpstr>
      <vt:lpstr>21. Planning for land and water</vt:lpstr>
      <vt:lpstr>Additional points on 21.</vt:lpstr>
      <vt:lpstr>22. State and commercial neigh.</vt:lpstr>
      <vt:lpstr>23. Indigenous people</vt:lpstr>
      <vt:lpstr>24. Local communities </vt:lpstr>
      <vt:lpstr>Additional points on 24.</vt:lpstr>
      <vt:lpstr>25. Economic benefit </vt:lpstr>
      <vt:lpstr>26. Monitoring and evaluation </vt:lpstr>
      <vt:lpstr>27. Visitor facilities </vt:lpstr>
      <vt:lpstr>28. Commercial tourism op.</vt:lpstr>
      <vt:lpstr>29. Fees</vt:lpstr>
      <vt:lpstr>30. Condition of values</vt:lpstr>
      <vt:lpstr>Additional points on 30.</vt:lpstr>
      <vt:lpstr>Detailed assess. of conditions</vt:lpstr>
      <vt:lpstr>31. Staff security</vt:lpstr>
      <vt:lpstr>32. Climate change</vt:lpstr>
      <vt:lpstr>33. Carbon capture</vt:lpstr>
      <vt:lpstr>34. Threats</vt:lpstr>
      <vt:lpstr>35. Conserve status key ind spe</vt:lpstr>
      <vt:lpstr>Detailed assessment of species</vt:lpstr>
      <vt:lpstr>36.Conservation status habitats</vt:lpstr>
      <vt:lpstr>Detailed assessment of habitats</vt:lpstr>
      <vt:lpstr>Ways forward after assessment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Office-Anwender</dc:creator>
  <cp:lastModifiedBy>Marc Hockings</cp:lastModifiedBy>
  <cp:lastPrinted>2017-10-20T10:01:11Z</cp:lastPrinted>
  <dcterms:created xsi:type="dcterms:W3CDTF">2017-06-17T09:18:10Z</dcterms:created>
  <dcterms:modified xsi:type="dcterms:W3CDTF">2019-10-01T21:43:16Z</dcterms:modified>
</cp:coreProperties>
</file>